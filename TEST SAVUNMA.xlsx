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ekinci\Desktop\"/>
    </mc:Choice>
  </mc:AlternateContent>
  <xr:revisionPtr revIDLastSave="0" documentId="13_ncr:1_{90EA0C7B-0556-4EB9-A4A1-CA43D112EF75}" xr6:coauthVersionLast="36" xr6:coauthVersionMax="36" xr10:uidLastSave="{00000000-0000-0000-0000-000000000000}"/>
  <bookViews>
    <workbookView xWindow="0" yWindow="0" windowWidth="23040" windowHeight="8952" tabRatio="785" xr2:uid="{00000000-000D-0000-FFFF-FFFF00000000}"/>
  </bookViews>
  <sheets>
    <sheet name="BILANCO" sheetId="1" r:id="rId1"/>
    <sheet name="GELIR" sheetId="2" r:id="rId2"/>
  </sheets>
  <calcPr calcId="191029"/>
</workbook>
</file>

<file path=xl/calcChain.xml><?xml version="1.0" encoding="utf-8"?>
<calcChain xmlns="http://schemas.openxmlformats.org/spreadsheetml/2006/main">
  <c r="H79" i="1" l="1"/>
  <c r="H3" i="1" s="1"/>
</calcChain>
</file>

<file path=xl/sharedStrings.xml><?xml version="1.0" encoding="utf-8"?>
<sst xmlns="http://schemas.openxmlformats.org/spreadsheetml/2006/main" count="278" uniqueCount="252">
  <si>
    <t>AKTİF</t>
  </si>
  <si>
    <t>I. DÖNEN VARLIKLAR</t>
  </si>
  <si>
    <t xml:space="preserve">  A. Hazır Değerler</t>
  </si>
  <si>
    <t xml:space="preserve">    1. Kasa</t>
  </si>
  <si>
    <t xml:space="preserve">    2. Alınan Çekler</t>
  </si>
  <si>
    <t xml:space="preserve">    3. Bankalar</t>
  </si>
  <si>
    <t xml:space="preserve">    4. Verilen Çekler ve Ödeme Emirleri (-)</t>
  </si>
  <si>
    <t xml:space="preserve">    5. Diğer Hazır Değerler</t>
  </si>
  <si>
    <t xml:space="preserve">  B. Menkul Kıymetler</t>
  </si>
  <si>
    <t xml:space="preserve">    1. Hisse Senetleri</t>
  </si>
  <si>
    <t xml:space="preserve">    2. Özel Kesim Tahvil, Senet ve Bonoları</t>
  </si>
  <si>
    <t xml:space="preserve">    3. Kamu Kesimi Tahvil, Senet ve Bonoları</t>
  </si>
  <si>
    <t xml:space="preserve">    4. Diğer Menkul Kıymetler</t>
  </si>
  <si>
    <t xml:space="preserve">    5. Menkul Kıymetler Değer Düşüklüğü Karş.(-)</t>
  </si>
  <si>
    <t xml:space="preserve"> C.Ticari Alacaklar</t>
  </si>
  <si>
    <t xml:space="preserve">    1. Alıcılar</t>
  </si>
  <si>
    <t xml:space="preserve">    2. Alacak Senetleri</t>
  </si>
  <si>
    <t xml:space="preserve">    3. Alacak Senetleri Reeskoontu (-)</t>
  </si>
  <si>
    <t xml:space="preserve">    4. Hazineden Alacaklar</t>
  </si>
  <si>
    <t xml:space="preserve">    5. Verilen Depozito ve Teminatlar</t>
  </si>
  <si>
    <t xml:space="preserve">    6. Diğer Ticari Alacaklar</t>
  </si>
  <si>
    <t xml:space="preserve">    7. Şüpheli Ticari Alacaklar</t>
  </si>
  <si>
    <t xml:space="preserve">    8. Şüpheli Ticari Alacaklar Karşılığı (-)</t>
  </si>
  <si>
    <t xml:space="preserve"> D. Diğer Alacaklar</t>
  </si>
  <si>
    <t xml:space="preserve">    1. Ortaklardan Alacaklar</t>
  </si>
  <si>
    <t xml:space="preserve">    2. İştiraklerden Alacaklar</t>
  </si>
  <si>
    <t xml:space="preserve">    3. Bağlı Ortaklıklardan Alacaklar</t>
  </si>
  <si>
    <t xml:space="preserve">    4. Personelden Alacaklar</t>
  </si>
  <si>
    <t xml:space="preserve">    5. Diğer Çeşitli Alacaklar</t>
  </si>
  <si>
    <t xml:space="preserve">    6. Diğer Alacak Senetleri Reeskontu (-)</t>
  </si>
  <si>
    <t xml:space="preserve">    7. Şüpheli Diğer Alacaklar</t>
  </si>
  <si>
    <t xml:space="preserve">    8. Şüpheli Diğer Alacaklar Karşılığı (-)</t>
  </si>
  <si>
    <t xml:space="preserve"> E. Stoklar</t>
  </si>
  <si>
    <t xml:space="preserve">    1. İlk Madde ve Malzeme</t>
  </si>
  <si>
    <t xml:space="preserve">    2. Yarı Mamüller</t>
  </si>
  <si>
    <t xml:space="preserve">    3. Mamüller</t>
  </si>
  <si>
    <t xml:space="preserve">    4. Ticari Mallar</t>
  </si>
  <si>
    <t xml:space="preserve">    5. Yoldaki Mallar</t>
  </si>
  <si>
    <t xml:space="preserve">    6. Diğer Stoklar</t>
  </si>
  <si>
    <t xml:space="preserve">    7. Stok Değer Düşüklüğü Karşılığı (-)</t>
  </si>
  <si>
    <t xml:space="preserve">    8. Verilen Sipariş Avansları</t>
  </si>
  <si>
    <t>F.Yıllara Yaygın İnşaat ve Onarım Maliyetleri</t>
  </si>
  <si>
    <t xml:space="preserve">    1. Yıllara Yaygın İnşaat ve Onarım Maliyetleri</t>
  </si>
  <si>
    <t xml:space="preserve">    2. Taşeronlara verilen Avanslar</t>
  </si>
  <si>
    <t>G. Gelecek Aylara Ait Giderler ve Gelir Tahakkukları</t>
  </si>
  <si>
    <t xml:space="preserve">    1. Gelecek Aylara Ait Giderler</t>
  </si>
  <si>
    <t xml:space="preserve">    2. Gelir Tahakkukları</t>
  </si>
  <si>
    <t xml:space="preserve"> H. Diğer Dönen Varlıklar</t>
  </si>
  <si>
    <t xml:space="preserve">    1. Devreden KDV</t>
  </si>
  <si>
    <t xml:space="preserve">    2. İndirilecek KDV</t>
  </si>
  <si>
    <t xml:space="preserve">    3. Diğer KDV</t>
  </si>
  <si>
    <t xml:space="preserve">    4. İş Avansları</t>
  </si>
  <si>
    <t xml:space="preserve">    5. Peşin Ödenen Vergiler ve Fonlar</t>
  </si>
  <si>
    <t xml:space="preserve">    6. Personel Avansları</t>
  </si>
  <si>
    <t xml:space="preserve">    7. Sayım ve Tesellüm Noksanları</t>
  </si>
  <si>
    <t xml:space="preserve">    8. Diğer Çeşitli Dönen Varlıklar</t>
  </si>
  <si>
    <t xml:space="preserve">    9. Diğer Dönen Varlıklar Karşılığı (-)</t>
  </si>
  <si>
    <t>II. DURAN VARLIKLAR</t>
  </si>
  <si>
    <t xml:space="preserve"> A.Ticari Alacaklar</t>
  </si>
  <si>
    <t xml:space="preserve">    3. Alacak Senetleri Reeskontu (-)</t>
  </si>
  <si>
    <t xml:space="preserve">    4. Verilen Depozito ve Teminatlar</t>
  </si>
  <si>
    <t xml:space="preserve">    5. Şüpheli Alacaklar Karşılığı (-)</t>
  </si>
  <si>
    <t xml:space="preserve"> B. Diğer Alacaklar</t>
  </si>
  <si>
    <t xml:space="preserve">    7. Şüpheli Alacaklar Karşılığı (-)</t>
  </si>
  <si>
    <t xml:space="preserve"> C. Mali Duran Varlıklar</t>
  </si>
  <si>
    <t xml:space="preserve">    1. Bağlı Menkul Kıymetler</t>
  </si>
  <si>
    <t xml:space="preserve">    2. Bağlı Menkul Kıy.Değ.Düş.Karşılığı (-)</t>
  </si>
  <si>
    <t xml:space="preserve">    3. İştirakler</t>
  </si>
  <si>
    <t xml:space="preserve">    4. İştiraklere Sermaye Taahhütleri (-)</t>
  </si>
  <si>
    <t xml:space="preserve">    5. İştirakler Sermaye Payları Değer Düşüklüğü Karşılığı (-)</t>
  </si>
  <si>
    <t xml:space="preserve">    6. Bağlı Ortaklıklar</t>
  </si>
  <si>
    <t xml:space="preserve">    7. Bağlı Ortaklıklara Sermaye Taahhütleri (-)</t>
  </si>
  <si>
    <t xml:space="preserve">    8. Bağlı Ortaklıklar Sermaye Payları Değer Düşüklüğü Karş. (-)</t>
  </si>
  <si>
    <t xml:space="preserve"> D. Maddi Duran Varlıklar</t>
  </si>
  <si>
    <t xml:space="preserve">    1. Arazi ve Arsalar</t>
  </si>
  <si>
    <t xml:space="preserve">    2. Yeraltı ve Yerüstü Düzenleri</t>
  </si>
  <si>
    <t xml:space="preserve">    3. Binalar</t>
  </si>
  <si>
    <t xml:space="preserve">    4. Tesis, Makine ve Cihazlar</t>
  </si>
  <si>
    <t xml:space="preserve">    5. Taşıtlar</t>
  </si>
  <si>
    <t xml:space="preserve">    6. Demirbaşlar</t>
  </si>
  <si>
    <t xml:space="preserve">    7. Diğer Maddi Duran Varlıklar</t>
  </si>
  <si>
    <t xml:space="preserve">    8. Birikmiş Amortismanlar (-)</t>
  </si>
  <si>
    <t xml:space="preserve">    9. Yapılmakta Olan Yatırımlar</t>
  </si>
  <si>
    <t xml:space="preserve">    10. Verilen Avanslar</t>
  </si>
  <si>
    <t xml:space="preserve"> E. Maddi Olmayan Duran Varlıklar</t>
  </si>
  <si>
    <t xml:space="preserve">    1. Haklar</t>
  </si>
  <si>
    <t xml:space="preserve">    2. Şerefiye</t>
  </si>
  <si>
    <t xml:space="preserve">    3. Kuruluş ve Örgütlenme Giderleri</t>
  </si>
  <si>
    <t xml:space="preserve">    4. Araştırma ve Geliştirme Giderleri</t>
  </si>
  <si>
    <t xml:space="preserve">    5. Özel Maliyetler</t>
  </si>
  <si>
    <t xml:space="preserve">    6. Diğer Maddi Olmayan Duran Varlıklar</t>
  </si>
  <si>
    <t xml:space="preserve">    7. Birikmiş Amortismanlar (-)</t>
  </si>
  <si>
    <t xml:space="preserve">    8. Verilen Avanslar</t>
  </si>
  <si>
    <t xml:space="preserve"> F. Özel Tükenmeye Tabi Varlıklar</t>
  </si>
  <si>
    <t xml:space="preserve">    1. Arama Giderleri</t>
  </si>
  <si>
    <t xml:space="preserve">    2. Hazırlık ve Geliştirme Giderleri</t>
  </si>
  <si>
    <t xml:space="preserve">    3. Diğer Özel Tükenmeye Tabi Varlıklar</t>
  </si>
  <si>
    <t xml:space="preserve">    4. Birikmiş Tükenme Payları (-)</t>
  </si>
  <si>
    <t xml:space="preserve">    5. Verilen Avanslar</t>
  </si>
  <si>
    <t xml:space="preserve"> G. Gelecek Yıllara Ait Giderler ve Gelir Tahakkukları</t>
  </si>
  <si>
    <t xml:space="preserve">    1. Gelecek Yıllara Ait Giderler</t>
  </si>
  <si>
    <t xml:space="preserve"> H. Diğer Duran Varlıklar</t>
  </si>
  <si>
    <t xml:space="preserve">    1. Gelecek Yıllarda İndirilecek KDV</t>
  </si>
  <si>
    <t xml:space="preserve">    2. Diğer KDV</t>
  </si>
  <si>
    <t xml:space="preserve">    3. Peşin Ödenen Vergi ve Fonlar</t>
  </si>
  <si>
    <t xml:space="preserve">    4. Gelecek Yıllar İhtiyacı Stoklar</t>
  </si>
  <si>
    <t xml:space="preserve">    5. Elden Çıkarılacak Stoklar ve Maddi Duran Varlıklar</t>
  </si>
  <si>
    <t xml:space="preserve">    6. Diğer Çeşitli Duran Varlıklar</t>
  </si>
  <si>
    <t>AKTİF TOPLAMI</t>
  </si>
  <si>
    <t>PASİF</t>
  </si>
  <si>
    <t xml:space="preserve"> A. Mali Borçlar</t>
  </si>
  <si>
    <t xml:space="preserve">    1. Banka Kredileri</t>
  </si>
  <si>
    <t xml:space="preserve">    2. Uzun Vadeli Kredilerin Anapara Taksitleri ve Faizleri</t>
  </si>
  <si>
    <t xml:space="preserve">    3. Tahvil Anapara Taksitleri ve Faizleri</t>
  </si>
  <si>
    <t xml:space="preserve">    4. Çıkarılmış Bonolar ve Senetler</t>
  </si>
  <si>
    <t xml:space="preserve">    5. Çıkarılmış Diğer Menkul Kıymetler</t>
  </si>
  <si>
    <t xml:space="preserve">    6. Menkul Kıymetler İhraç Farkı (-)</t>
  </si>
  <si>
    <t xml:space="preserve">    7. Diğer Mali Borçlar</t>
  </si>
  <si>
    <t xml:space="preserve"> B. Ticari Borçlar</t>
  </si>
  <si>
    <t xml:space="preserve">    1. Satıcılar</t>
  </si>
  <si>
    <t xml:space="preserve">    2. Borç Senetleri</t>
  </si>
  <si>
    <t xml:space="preserve">    3. Borç Senetleri Reeskontu (-)</t>
  </si>
  <si>
    <t xml:space="preserve">    4. Alınan Depozito ve Teminatlar</t>
  </si>
  <si>
    <t xml:space="preserve">    5. Diğer Ticari Borçlar</t>
  </si>
  <si>
    <t xml:space="preserve"> C. Diğer Borçlar</t>
  </si>
  <si>
    <t xml:space="preserve">    1. Ortaklara Borçlar</t>
  </si>
  <si>
    <t xml:space="preserve">    2. İştiraklere Borçlar</t>
  </si>
  <si>
    <t xml:space="preserve">    3. Bağlı Ortaklıklara Borçlar</t>
  </si>
  <si>
    <t xml:space="preserve">    4. Personele Borçlar</t>
  </si>
  <si>
    <t xml:space="preserve">    5. Diğer Çeşitli  Borçlar</t>
  </si>
  <si>
    <t xml:space="preserve">    6. Diğer Borç Senetleri Reeskontu (-)</t>
  </si>
  <si>
    <t xml:space="preserve">  D. Alınan  Avanslar</t>
  </si>
  <si>
    <t xml:space="preserve">      1. Alınan  Avanslar</t>
  </si>
  <si>
    <t xml:space="preserve">      2. Alınan Diğer Avanslar</t>
  </si>
  <si>
    <t xml:space="preserve"> E. Yıllara Yaygın İnşaat ve Onarım Hakedişleri</t>
  </si>
  <si>
    <t xml:space="preserve">    1. Yıllara Yaygın İnşaat ve Onarım Hakediş Bedelleri</t>
  </si>
  <si>
    <t xml:space="preserve"> F. Ödenecek Vergi ve Diğer Yükümlülükler</t>
  </si>
  <si>
    <t xml:space="preserve">    1. Ödenecek Vergi ve Fonlar</t>
  </si>
  <si>
    <t xml:space="preserve">    2. Ödenecek Sosyal Güvenlik Kesintileri</t>
  </si>
  <si>
    <t xml:space="preserve">    3. Vadesi Geçmiş Ertelenmiş veya Taksitlendirilmiş Vergi ve Diğer Yükümlülükler</t>
  </si>
  <si>
    <t xml:space="preserve">    4. Ödenecek Diğer Yükümlülükler</t>
  </si>
  <si>
    <t xml:space="preserve"> G. Borç ve Gider Karşılıkları</t>
  </si>
  <si>
    <t xml:space="preserve">    1. Dönem Karı Vergi ve Diğer Yasal Yükümlülük Karşılıkları</t>
  </si>
  <si>
    <t xml:space="preserve">    2. Dönem Karının Peşin Ödenen Vergi ve Diğer Yükümlülükleri (-)</t>
  </si>
  <si>
    <t xml:space="preserve">    3. Kıdem Tazmınatı Karşılığı</t>
  </si>
  <si>
    <t xml:space="preserve">    4. Diğer Borç ve Gider Karşılıkları</t>
  </si>
  <si>
    <t xml:space="preserve"> H. Gelecek Aylara Ait Gelirler ve Gider Tahakukları</t>
  </si>
  <si>
    <t xml:space="preserve">    1. Gelecek Aylara Ait Gelirler</t>
  </si>
  <si>
    <t xml:space="preserve">    2. Gider Tahakukları</t>
  </si>
  <si>
    <t xml:space="preserve"> I. Diğer Kısa Vadeli Yabancı Kaynaklar</t>
  </si>
  <si>
    <t xml:space="preserve">    1. Diğer KDV</t>
  </si>
  <si>
    <t xml:space="preserve">    2. Sayım ve Tesellüm Fazlaları</t>
  </si>
  <si>
    <t xml:space="preserve">    3. Diğer Çeşitli Yabancı Kaynaklar</t>
  </si>
  <si>
    <t>II. UZUN VADELİ YABANCI KAYNAKLAR</t>
  </si>
  <si>
    <t xml:space="preserve">    2. Çıkarılmış Tahviller</t>
  </si>
  <si>
    <t xml:space="preserve">    3. Çıkarılmış Diğer Menkul Kıymetler</t>
  </si>
  <si>
    <t xml:space="preserve">    4. Menkul Kıymetler İhraç Farkı (-)</t>
  </si>
  <si>
    <t xml:space="preserve">    5. Diğer Mali Borçlar</t>
  </si>
  <si>
    <t xml:space="preserve">    3. Borç  Senetleri Reeskontu (-)</t>
  </si>
  <si>
    <t xml:space="preserve">    4. Diğer Çeşitli Borçlar</t>
  </si>
  <si>
    <t xml:space="preserve">    5. Diğer Borç Senetleri Reeskontu (-)</t>
  </si>
  <si>
    <t xml:space="preserve">    6. Kamuya Olan Ertelenmiş ve Taksitlendirilmiş Borçlar</t>
  </si>
  <si>
    <t xml:space="preserve"> E. Borç ve Gider Karşılıkları</t>
  </si>
  <si>
    <t xml:space="preserve">    1. Kıdem Tazminatı Karşılıkları</t>
  </si>
  <si>
    <t xml:space="preserve">    2. Diğer Borç ve Gider Karşılıkları</t>
  </si>
  <si>
    <t xml:space="preserve"> F. Gelecek Yıllara  Ait Gelirler ve Gider Tahakukları</t>
  </si>
  <si>
    <t xml:space="preserve">    1. Gelecek Yıllara Ait Gelirler</t>
  </si>
  <si>
    <t xml:space="preserve"> G. Diğer Uzun Vadeli Yabancı Kaynaklar</t>
  </si>
  <si>
    <t xml:space="preserve">    1. Gelecek Yıllara Ertelenen veya Terkin Edilecek KDV</t>
  </si>
  <si>
    <t xml:space="preserve">    2. Tesise Katılma Payları</t>
  </si>
  <si>
    <t xml:space="preserve">    3. Diğer Çeşitli Uzun Vadeli Yabancı Kaynaklar</t>
  </si>
  <si>
    <t xml:space="preserve"> A. Ödenmiş Sermaye</t>
  </si>
  <si>
    <t xml:space="preserve">  1. Sermaye</t>
  </si>
  <si>
    <t xml:space="preserve">  2. Ödenmemiş Sermaye(-)</t>
  </si>
  <si>
    <t xml:space="preserve"> B. Sermaye Yedekleri</t>
  </si>
  <si>
    <t xml:space="preserve">  1. Hisse Senedi İhraç Primleri</t>
  </si>
  <si>
    <t xml:space="preserve">  2. Hisse Senedi İptal Karları</t>
  </si>
  <si>
    <t xml:space="preserve">  3. M.D.V Yeniden Değerleme Artışları</t>
  </si>
  <si>
    <t xml:space="preserve">  4. İştirakler Yeniden Değerleme Artışları</t>
  </si>
  <si>
    <t xml:space="preserve">  5. Sermaye Yedekleri</t>
  </si>
  <si>
    <t xml:space="preserve"> C. Kar Yedekleri</t>
  </si>
  <si>
    <t xml:space="preserve">    1. Yasal Yedekler</t>
  </si>
  <si>
    <t xml:space="preserve">    2. Statü Yedekleri</t>
  </si>
  <si>
    <t xml:space="preserve">    3. Olağanüstü Yedekler</t>
  </si>
  <si>
    <t xml:space="preserve">    4. Diğer Kar Yedekleri</t>
  </si>
  <si>
    <t xml:space="preserve">    5. Özel Fonlar</t>
  </si>
  <si>
    <t xml:space="preserve">  D. Geçmiş Yıllar Karları</t>
  </si>
  <si>
    <t xml:space="preserve">  E. Geçmiş Yıllar Zararları (-)</t>
  </si>
  <si>
    <t xml:space="preserve">  F. Net Dönem Karı</t>
  </si>
  <si>
    <t xml:space="preserve">  G. Net Dönem Zararı (-)</t>
  </si>
  <si>
    <t>PASİF TOPLAMI</t>
  </si>
  <si>
    <t>A. BRÜT SATIŞLAR</t>
  </si>
  <si>
    <t xml:space="preserve">    1. Yurtiçi Satışlar</t>
  </si>
  <si>
    <t xml:space="preserve">    2. Yurtdışı Satışlar</t>
  </si>
  <si>
    <t xml:space="preserve">    3. Diğer Satışlar</t>
  </si>
  <si>
    <t>B. SATIŞLARDAN İNDİRİMLER (-)</t>
  </si>
  <si>
    <t xml:space="preserve">    1. Satıştan İadeler (-)</t>
  </si>
  <si>
    <t xml:space="preserve">    2. Satış İskontoları (-)</t>
  </si>
  <si>
    <t xml:space="preserve">    3. Diğer İndirimler (-)</t>
  </si>
  <si>
    <t>C. NET SATIŞLAR</t>
  </si>
  <si>
    <t>D. SATIŞLARIN MALİYETİ (-)</t>
  </si>
  <si>
    <t xml:space="preserve">     1.Satılan Mamül Maliyeti (-)</t>
  </si>
  <si>
    <t xml:space="preserve">     2.Satılan Ticari Mallar Maliyeti (-)</t>
  </si>
  <si>
    <t xml:space="preserve">     3.Satılan Hizmet Maliyeti (-)</t>
  </si>
  <si>
    <t xml:space="preserve">     4.Diğer Satışların Maliyeti (-)</t>
  </si>
  <si>
    <t xml:space="preserve">       BRÜT SATIŞ KARI (ZARARI)</t>
  </si>
  <si>
    <t>E. FAALİYET GİDERLERİ (-)</t>
  </si>
  <si>
    <t xml:space="preserve">    1. Araştırma ve Geliştirme Giderleri (-)</t>
  </si>
  <si>
    <t xml:space="preserve">    2. Pazarlama, Satış ve Dağıtım Giderleri (-)</t>
  </si>
  <si>
    <t xml:space="preserve">    3. Genel Yönetim Giderleri (-)</t>
  </si>
  <si>
    <t xml:space="preserve">      FAALİYET KARI (ZARARI)</t>
  </si>
  <si>
    <t>F. DİĞER FAALİYETLERDEN GELİRLER VE KARLAR</t>
  </si>
  <si>
    <t xml:space="preserve">    1. İştiraklerden Temettü Gelirleri</t>
  </si>
  <si>
    <t xml:space="preserve">     2. Bağlı Ortaklıklardan Temettü Gelirleri</t>
  </si>
  <si>
    <t xml:space="preserve">     3. Faiz Gelirleri</t>
  </si>
  <si>
    <t xml:space="preserve">     4. Komisyon Gelirleri</t>
  </si>
  <si>
    <t xml:space="preserve">     5. Konusu Kalmayan Karşılıklar</t>
  </si>
  <si>
    <t xml:space="preserve">     6. Menkul Kıymet Satış Karları</t>
  </si>
  <si>
    <t xml:space="preserve">     7. Kambiyo Karları</t>
  </si>
  <si>
    <t xml:space="preserve">     8. Reeskont Faiz Gelirleri</t>
  </si>
  <si>
    <t xml:space="preserve">     9. Enflasyon Düzeltmesi Karları</t>
  </si>
  <si>
    <t xml:space="preserve">   10. Diğer Olağan Gelir ve Karlar</t>
  </si>
  <si>
    <t xml:space="preserve">  G. DİĞER FAALİYETLERDEN GİDER VE ZARARLAR (-)</t>
  </si>
  <si>
    <t xml:space="preserve">    1. Komisyon Giderleri (-)</t>
  </si>
  <si>
    <t xml:space="preserve">    2. Karşılık Giderleri (-)</t>
  </si>
  <si>
    <t xml:space="preserve">    3. Menkul Kıymet Satış Zararları (-)</t>
  </si>
  <si>
    <t xml:space="preserve">    4. Kambiyo Zararları (-)</t>
  </si>
  <si>
    <t xml:space="preserve">    5. Reeskont Faiz Giderleri (-)</t>
  </si>
  <si>
    <t xml:space="preserve">    6. Enflasyon Düzeltmesi Zararları (-)</t>
  </si>
  <si>
    <t xml:space="preserve">    7. Diğer Olağan Gider ve Zararlar (-)</t>
  </si>
  <si>
    <t>H. FİNANSMAN GİDERLERİ (-)</t>
  </si>
  <si>
    <t xml:space="preserve">    1. Kısa Vadeli Borçlanma Giderleri (-)</t>
  </si>
  <si>
    <t xml:space="preserve">    2. Uzun Vadeli Borçlanma Giderleri (-)</t>
  </si>
  <si>
    <t xml:space="preserve">      OLAĞAN  KAR VEYA ZARARI</t>
  </si>
  <si>
    <t>I. OLAĞANÜSTÜ GELİRLER VE KARLAR</t>
  </si>
  <si>
    <t xml:space="preserve">    1. Önceki Dönem Gelir ve Karları</t>
  </si>
  <si>
    <t xml:space="preserve">    2. Tazminat ve Ceza Gelirleri</t>
  </si>
  <si>
    <t xml:space="preserve">    3. Diğer Hasılat ve Karlar</t>
  </si>
  <si>
    <t xml:space="preserve">    4. Arızi Satış Karları</t>
  </si>
  <si>
    <t xml:space="preserve">    5. Diğer Olağanüstü Gelirler ve Karlar</t>
  </si>
  <si>
    <t>J. OLAĞANÜSTÜ GİDERLER VE ZARARLAR (-)</t>
  </si>
  <si>
    <t xml:space="preserve">    1. Çalışmayan Kısım Giderleri ve Zararları (-)</t>
  </si>
  <si>
    <t xml:space="preserve">    2. Önceki Dönem Gider ve Zararları (-)</t>
  </si>
  <si>
    <t xml:space="preserve">    3. Tazminat ve Ceza Giderleri (-)</t>
  </si>
  <si>
    <t xml:space="preserve">    4. Sair Bağış ve Yardımları  (-)</t>
  </si>
  <si>
    <t xml:space="preserve">    5. Diğer Olağanüstü Giderler ve Zararlar (-)</t>
  </si>
  <si>
    <t xml:space="preserve">       DÖNEM KARI (ZARARI)</t>
  </si>
  <si>
    <t xml:space="preserve">  K. ÖDENECEK VERGİ VE DİĞER YASAL YÜKÜMLÜLÜKLER (-)</t>
  </si>
  <si>
    <t xml:space="preserve">       NET DÖNEM KARI (ZARARI)</t>
  </si>
  <si>
    <t>KALEM</t>
  </si>
  <si>
    <t>I. KISA VADELİ YÜKÜMLÜLÜKLER</t>
  </si>
  <si>
    <t>III. ÖZKAYNAKLAR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</si>
</sst>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6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AEB"/>
        <bgColor indexed="64"/>
      </patternFill>
    </fill>
    <fill>
      <patternFill patternType="solid">
        <fgColor rgb="FFFFFBEF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73">
    <xf numFmtId="0" fontId="0" fillId="0" borderId="0" xfId="0"/>
    <xf numFmtId="43" fontId="0" fillId="0" borderId="0" xfId="1" applyFont="1"/>
    <xf numFmtId="43" fontId="0" fillId="0" borderId="10" xfId="1" applyFont="1" applyBorder="1"/>
    <xf numFmtId="0" fontId="0" fillId="0" borderId="16" xfId="0" applyBorder="1"/>
    <xf numFmtId="0" fontId="16" fillId="0" borderId="16" xfId="0" applyFont="1" applyBorder="1"/>
    <xf numFmtId="43" fontId="16" fillId="0" borderId="10" xfId="1" applyFont="1" applyBorder="1"/>
    <xf numFmtId="0" fontId="20" fillId="0" borderId="0" xfId="0" applyFont="1"/>
    <xf numFmtId="0" fontId="0" fillId="0" borderId="24" xfId="0" applyBorder="1"/>
    <xf numFmtId="0" fontId="18" fillId="0" borderId="14" xfId="0" applyFont="1" applyBorder="1"/>
    <xf numFmtId="0" fontId="18" fillId="0" borderId="16" xfId="0" applyFont="1" applyBorder="1"/>
    <xf numFmtId="43" fontId="18" fillId="0" borderId="10" xfId="1" applyFont="1" applyBorder="1"/>
    <xf numFmtId="0" fontId="0" fillId="0" borderId="16" xfId="0" applyBorder="1" applyAlignment="1">
      <alignment horizontal="left" indent="2"/>
    </xf>
    <xf numFmtId="0" fontId="0" fillId="0" borderId="16" xfId="0" applyFont="1" applyBorder="1" applyAlignment="1">
      <alignment horizontal="left" indent="2"/>
    </xf>
    <xf numFmtId="0" fontId="19" fillId="0" borderId="0" xfId="0" applyFont="1"/>
    <xf numFmtId="0" fontId="16" fillId="0" borderId="23" xfId="0" applyFont="1" applyBorder="1"/>
    <xf numFmtId="0" fontId="23" fillId="0" borderId="26" xfId="0" applyFont="1" applyBorder="1" applyAlignment="1">
      <alignment horizontal="right" wrapText="1"/>
    </xf>
    <xf numFmtId="4" fontId="23" fillId="0" borderId="0" xfId="0" applyNumberFormat="1" applyFont="1" applyBorder="1" applyAlignment="1">
      <alignment horizontal="right" wrapText="1"/>
    </xf>
    <xf numFmtId="0" fontId="23" fillId="0" borderId="0" xfId="0" applyFont="1" applyBorder="1" applyAlignment="1">
      <alignment horizontal="right" wrapText="1"/>
    </xf>
    <xf numFmtId="0" fontId="18" fillId="0" borderId="26" xfId="0" applyFont="1" applyBorder="1" applyAlignment="1">
      <alignment horizontal="right" wrapText="1"/>
    </xf>
    <xf numFmtId="0" fontId="23" fillId="0" borderId="17" xfId="0" applyFont="1" applyBorder="1" applyAlignment="1">
      <alignment horizontal="right" wrapText="1"/>
    </xf>
    <xf numFmtId="4" fontId="19" fillId="0" borderId="0" xfId="0" applyNumberFormat="1" applyFont="1" applyBorder="1" applyAlignment="1">
      <alignment horizontal="right" wrapText="1"/>
    </xf>
    <xf numFmtId="0" fontId="18" fillId="0" borderId="17" xfId="0" applyFont="1" applyBorder="1" applyAlignment="1">
      <alignment horizontal="right" wrapText="1"/>
    </xf>
    <xf numFmtId="0" fontId="18" fillId="0" borderId="19" xfId="0" applyFont="1" applyBorder="1"/>
    <xf numFmtId="43" fontId="18" fillId="0" borderId="11" xfId="1" applyFont="1" applyBorder="1"/>
    <xf numFmtId="43" fontId="22" fillId="0" borderId="12" xfId="1" applyFont="1" applyBorder="1"/>
    <xf numFmtId="0" fontId="19" fillId="0" borderId="30" xfId="0" applyFont="1" applyBorder="1"/>
    <xf numFmtId="0" fontId="0" fillId="0" borderId="18" xfId="0" applyBorder="1" applyAlignment="1">
      <alignment horizontal="left" indent="2"/>
    </xf>
    <xf numFmtId="0" fontId="23" fillId="0" borderId="32" xfId="0" applyFont="1" applyBorder="1" applyAlignment="1">
      <alignment horizontal="right" wrapText="1"/>
    </xf>
    <xf numFmtId="43" fontId="19" fillId="0" borderId="27" xfId="1" applyFont="1" applyBorder="1"/>
    <xf numFmtId="43" fontId="0" fillId="0" borderId="34" xfId="1" applyFont="1" applyBorder="1"/>
    <xf numFmtId="0" fontId="19" fillId="0" borderId="21" xfId="0" applyFont="1" applyBorder="1"/>
    <xf numFmtId="0" fontId="19" fillId="0" borderId="12" xfId="0" applyFont="1" applyBorder="1"/>
    <xf numFmtId="4" fontId="19" fillId="0" borderId="22" xfId="0" applyNumberFormat="1" applyFont="1" applyBorder="1"/>
    <xf numFmtId="0" fontId="18" fillId="0" borderId="37" xfId="0" applyFont="1" applyBorder="1"/>
    <xf numFmtId="0" fontId="0" fillId="0" borderId="38" xfId="0" applyBorder="1" applyAlignment="1">
      <alignment horizontal="left" indent="2"/>
    </xf>
    <xf numFmtId="0" fontId="18" fillId="0" borderId="38" xfId="0" applyFont="1" applyBorder="1"/>
    <xf numFmtId="0" fontId="18" fillId="0" borderId="39" xfId="0" applyFont="1" applyBorder="1"/>
    <xf numFmtId="4" fontId="18" fillId="0" borderId="40" xfId="0" applyNumberFormat="1" applyFont="1" applyBorder="1"/>
    <xf numFmtId="4" fontId="0" fillId="0" borderId="41" xfId="0" applyNumberFormat="1" applyBorder="1"/>
    <xf numFmtId="4" fontId="18" fillId="0" borderId="41" xfId="0" applyNumberFormat="1" applyFont="1" applyBorder="1"/>
    <xf numFmtId="0" fontId="0" fillId="0" borderId="41" xfId="0" applyBorder="1"/>
    <xf numFmtId="4" fontId="18" fillId="0" borderId="42" xfId="0" applyNumberFormat="1" applyFont="1" applyBorder="1"/>
    <xf numFmtId="4" fontId="18" fillId="33" borderId="31" xfId="0" applyNumberFormat="1" applyFont="1" applyFill="1" applyBorder="1" applyAlignment="1">
      <alignment horizontal="right" wrapText="1"/>
    </xf>
    <xf numFmtId="4" fontId="18" fillId="33" borderId="28" xfId="0" applyNumberFormat="1" applyFont="1" applyFill="1" applyBorder="1" applyAlignment="1">
      <alignment horizontal="right" wrapText="1"/>
    </xf>
    <xf numFmtId="4" fontId="23" fillId="33" borderId="28" xfId="0" applyNumberFormat="1" applyFont="1" applyFill="1" applyBorder="1" applyAlignment="1">
      <alignment horizontal="right" wrapText="1"/>
    </xf>
    <xf numFmtId="0" fontId="23" fillId="33" borderId="28" xfId="0" applyFont="1" applyFill="1" applyBorder="1" applyAlignment="1">
      <alignment horizontal="right" wrapText="1"/>
    </xf>
    <xf numFmtId="0" fontId="18" fillId="33" borderId="28" xfId="0" applyFont="1" applyFill="1" applyBorder="1" applyAlignment="1">
      <alignment horizontal="right" wrapText="1"/>
    </xf>
    <xf numFmtId="0" fontId="23" fillId="33" borderId="29" xfId="0" applyFont="1" applyFill="1" applyBorder="1" applyAlignment="1">
      <alignment horizontal="right" wrapText="1"/>
    </xf>
    <xf numFmtId="43" fontId="19" fillId="33" borderId="27" xfId="1" applyFont="1" applyFill="1" applyBorder="1"/>
    <xf numFmtId="4" fontId="18" fillId="33" borderId="20" xfId="0" applyNumberFormat="1" applyFont="1" applyFill="1" applyBorder="1" applyAlignment="1">
      <alignment horizontal="right" wrapText="1"/>
    </xf>
    <xf numFmtId="4" fontId="18" fillId="33" borderId="17" xfId="0" applyNumberFormat="1" applyFont="1" applyFill="1" applyBorder="1" applyAlignment="1">
      <alignment horizontal="right" wrapText="1"/>
    </xf>
    <xf numFmtId="4" fontId="23" fillId="33" borderId="17" xfId="0" applyNumberFormat="1" applyFont="1" applyFill="1" applyBorder="1" applyAlignment="1">
      <alignment horizontal="right" wrapText="1"/>
    </xf>
    <xf numFmtId="0" fontId="23" fillId="33" borderId="17" xfId="0" applyFont="1" applyFill="1" applyBorder="1" applyAlignment="1">
      <alignment horizontal="right" wrapText="1"/>
    </xf>
    <xf numFmtId="0" fontId="18" fillId="33" borderId="17" xfId="0" applyFont="1" applyFill="1" applyBorder="1" applyAlignment="1">
      <alignment horizontal="right" wrapText="1"/>
    </xf>
    <xf numFmtId="43" fontId="18" fillId="33" borderId="17" xfId="1" applyFont="1" applyFill="1" applyBorder="1" applyAlignment="1">
      <alignment horizontal="right" wrapText="1"/>
    </xf>
    <xf numFmtId="0" fontId="0" fillId="33" borderId="17" xfId="0" applyFill="1" applyBorder="1"/>
    <xf numFmtId="0" fontId="0" fillId="33" borderId="35" xfId="0" applyFill="1" applyBorder="1"/>
    <xf numFmtId="4" fontId="19" fillId="33" borderId="13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43" fontId="18" fillId="0" borderId="15" xfId="1" applyFont="1" applyBorder="1" applyAlignment="1">
      <alignment horizontal="right"/>
    </xf>
    <xf numFmtId="43" fontId="18" fillId="0" borderId="10" xfId="1" applyFont="1" applyBorder="1" applyAlignment="1">
      <alignment horizontal="right"/>
    </xf>
    <xf numFmtId="43" fontId="0" fillId="0" borderId="10" xfId="1" applyFont="1" applyBorder="1" applyAlignment="1">
      <alignment horizontal="right"/>
    </xf>
    <xf numFmtId="43" fontId="19" fillId="0" borderId="33" xfId="1" applyFont="1" applyBorder="1" applyAlignment="1">
      <alignment horizontal="right"/>
    </xf>
    <xf numFmtId="4" fontId="18" fillId="34" borderId="45" xfId="0" applyNumberFormat="1" applyFont="1" applyFill="1" applyBorder="1" applyAlignment="1">
      <alignment horizontal="right" wrapText="1"/>
    </xf>
    <xf numFmtId="4" fontId="23" fillId="34" borderId="43" xfId="0" applyNumberFormat="1" applyFont="1" applyFill="1" applyBorder="1" applyAlignment="1">
      <alignment horizontal="right" wrapText="1"/>
    </xf>
    <xf numFmtId="4" fontId="18" fillId="34" borderId="43" xfId="0" applyNumberFormat="1" applyFont="1" applyFill="1" applyBorder="1" applyAlignment="1">
      <alignment horizontal="right" wrapText="1"/>
    </xf>
    <xf numFmtId="0" fontId="23" fillId="34" borderId="43" xfId="0" applyFont="1" applyFill="1" applyBorder="1" applyAlignment="1">
      <alignment horizontal="right" wrapText="1"/>
    </xf>
    <xf numFmtId="0" fontId="23" fillId="34" borderId="44" xfId="0" applyFont="1" applyFill="1" applyBorder="1" applyAlignment="1">
      <alignment horizontal="right" wrapText="1"/>
    </xf>
    <xf numFmtId="4" fontId="19" fillId="34" borderId="36" xfId="0" applyNumberFormat="1" applyFont="1" applyFill="1" applyBorder="1" applyAlignment="1">
      <alignment horizontal="right" wrapText="1"/>
    </xf>
    <xf numFmtId="0" fontId="16" fillId="0" borderId="25" xfId="1" applyNumberFormat="1" applyFont="1" applyBorder="1" applyAlignment="1">
      <alignment horizontal="center"/>
    </xf>
    <xf numFmtId="0" fontId="16" fillId="34" borderId="27" xfId="1" applyNumberFormat="1" applyFont="1" applyFill="1" applyBorder="1" applyAlignment="1">
      <alignment horizontal="center"/>
    </xf>
    <xf numFmtId="0" fontId="22" fillId="0" borderId="27" xfId="1" applyNumberFormat="1" applyFont="1" applyBorder="1" applyAlignment="1">
      <alignment horizontal="right"/>
    </xf>
    <xf numFmtId="0" fontId="22" fillId="33" borderId="13" xfId="1" applyNumberFormat="1" applyFont="1" applyFill="1" applyBorder="1" applyAlignment="1">
      <alignment horizontal="center"/>
    </xf>
  </cellXfs>
  <cellStyles count="44">
    <cellStyle name="%20 - Vurgu1" xfId="20" builtinId="30" customBuiltin="1"/>
    <cellStyle name="%20 - Vurgu2" xfId="24" builtinId="34" customBuiltin="1"/>
    <cellStyle name="%20 - Vurgu3" xfId="28" builtinId="38" customBuiltin="1"/>
    <cellStyle name="%20 - Vurgu4" xfId="32" builtinId="42" customBuiltin="1"/>
    <cellStyle name="%20 - Vurgu5" xfId="36" builtinId="46" customBuiltin="1"/>
    <cellStyle name="%20 - Vurgu6" xfId="40" builtinId="50" customBuiltin="1"/>
    <cellStyle name="%40 - Vurgu1" xfId="21" builtinId="31" customBuiltin="1"/>
    <cellStyle name="%40 - Vurgu2" xfId="25" builtinId="35" customBuiltin="1"/>
    <cellStyle name="%40 - Vurgu3" xfId="29" builtinId="39" customBuiltin="1"/>
    <cellStyle name="%40 - Vurgu4" xfId="33" builtinId="43" customBuiltin="1"/>
    <cellStyle name="%40 - Vurgu5" xfId="37" builtinId="47" customBuiltin="1"/>
    <cellStyle name="%40 - Vurgu6" xfId="41" builtinId="51" customBuiltin="1"/>
    <cellStyle name="%60 - Vurgu1" xfId="22" builtinId="32" customBuiltin="1"/>
    <cellStyle name="%60 - Vurgu2" xfId="26" builtinId="36" customBuiltin="1"/>
    <cellStyle name="%60 - Vurgu3" xfId="30" builtinId="40" customBuiltin="1"/>
    <cellStyle name="%60 - Vurgu4" xfId="34" builtinId="44" customBuiltin="1"/>
    <cellStyle name="%60 - Vurgu5" xfId="38" builtinId="48" customBuiltin="1"/>
    <cellStyle name="%60 - Vurgu6" xfId="42" builtinId="52" customBuiltin="1"/>
    <cellStyle name="Açıklama Metni" xfId="17" builtinId="53" customBuiltin="1"/>
    <cellStyle name="Ana Başlık" xfId="2" builtinId="15" customBuiltin="1"/>
    <cellStyle name="Bağlı Hücre" xfId="13" builtinId="24" customBuiltin="1"/>
    <cellStyle name="Başlık 1" xfId="3" builtinId="16" customBuiltin="1"/>
    <cellStyle name="Başlık 2" xfId="4" builtinId="17" customBuiltin="1"/>
    <cellStyle name="Başlık 3" xfId="5" builtinId="18" customBuiltin="1"/>
    <cellStyle name="Başlık 4" xfId="6" builtinId="19" customBuiltin="1"/>
    <cellStyle name="Çıkış" xfId="11" builtinId="21" customBuiltin="1"/>
    <cellStyle name="Giriş" xfId="10" builtinId="20" customBuiltin="1"/>
    <cellStyle name="Hesaplama" xfId="12" builtinId="22" customBuiltin="1"/>
    <cellStyle name="İşaretli Hücre" xfId="14" builtinId="23" customBuiltin="1"/>
    <cellStyle name="İyi" xfId="7" builtinId="26" customBuiltin="1"/>
    <cellStyle name="Kötü" xfId="8" builtinId="27" customBuiltin="1"/>
    <cellStyle name="Normal" xfId="0" builtinId="0"/>
    <cellStyle name="Normal 2" xfId="43" xr:uid="{0F289A08-05CF-4888-BAF6-9D7F40C68A39}"/>
    <cellStyle name="Not" xfId="16" builtinId="10" customBuiltin="1"/>
    <cellStyle name="Nötr" xfId="9" builtinId="28" customBuiltin="1"/>
    <cellStyle name="Toplam" xfId="18" builtinId="25" customBuiltin="1"/>
    <cellStyle name="Uyarı Metni" xfId="15" builtinId="11" customBuiltin="1"/>
    <cellStyle name="Virgül" xfId="1" builtinId="3"/>
    <cellStyle name="Vurgu1" xfId="19" builtinId="29" customBuiltin="1"/>
    <cellStyle name="Vurgu2" xfId="23" builtinId="33" customBuiltin="1"/>
    <cellStyle name="Vurgu3" xfId="27" builtinId="37" customBuiltin="1"/>
    <cellStyle name="Vurgu4" xfId="31" builtinId="41" customBuiltin="1"/>
    <cellStyle name="Vurgu5" xfId="35" builtinId="45" customBuiltin="1"/>
    <cellStyle name="Vurgu6" xfId="39" builtinId="49" customBuiltin="1"/>
  </cellStyles>
  <dxfs count="0"/>
  <tableStyles count="0" defaultTableStyle="TableStyleMedium2" defaultPivotStyle="PivotStyleLight16"/>
  <colors>
    <mruColors>
      <color rgb="FFFFFBEF"/>
      <color rgb="FFFFFAEB"/>
      <color rgb="FF8BE1FF"/>
      <color rgb="FF33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122"/>
  <sheetViews>
    <sheetView tabSelected="1" zoomScaleNormal="100" workbookViewId="0">
      <selection activeCell="F80" sqref="F80"/>
    </sheetView>
  </sheetViews>
  <sheetFormatPr defaultRowHeight="14.4" x14ac:dyDescent="0.3"/>
  <cols>
    <col min="1" max="1" width="3.6640625" customWidth="1"/>
    <col min="2" max="2" width="60.109375" customWidth="1"/>
    <col min="3" max="3" width="27.33203125" style="58" bestFit="1" customWidth="1"/>
    <col min="4" max="4" width="27.33203125" customWidth="1"/>
    <col min="5" max="5" width="1.5546875" customWidth="1"/>
    <col min="6" max="6" width="54" customWidth="1"/>
    <col min="7" max="7" width="27.33203125" style="1" bestFit="1" customWidth="1"/>
    <col min="8" max="8" width="25.44140625" style="1" bestFit="1" customWidth="1"/>
    <col min="9" max="9" width="15.88671875" bestFit="1" customWidth="1"/>
  </cols>
  <sheetData>
    <row r="1" spans="2:8" ht="6" customHeight="1" thickBot="1" x14ac:dyDescent="0.35"/>
    <row r="2" spans="2:8" ht="21.6" thickBot="1" x14ac:dyDescent="0.45">
      <c r="B2" s="24" t="s">
        <v>249</v>
      </c>
      <c r="C2" s="71">
        <v>2024</v>
      </c>
      <c r="D2" s="72">
        <v>2025</v>
      </c>
      <c r="F2" s="24" t="s">
        <v>249</v>
      </c>
      <c r="G2" s="71">
        <v>2024</v>
      </c>
      <c r="H2" s="72">
        <v>2025</v>
      </c>
    </row>
    <row r="3" spans="2:8" ht="15.6" x14ac:dyDescent="0.3">
      <c r="B3" s="8" t="s">
        <v>0</v>
      </c>
      <c r="C3" s="59">
        <v>16833511227.809999</v>
      </c>
      <c r="D3" s="42">
        <v>20299954189.16</v>
      </c>
      <c r="E3" s="16"/>
      <c r="F3" s="22" t="s">
        <v>109</v>
      </c>
      <c r="G3" s="23">
        <v>16833511227.809999</v>
      </c>
      <c r="H3" s="49">
        <f>H4+H48+H79</f>
        <v>20299954189.16</v>
      </c>
    </row>
    <row r="4" spans="2:8" ht="15.6" x14ac:dyDescent="0.3">
      <c r="B4" s="9" t="s">
        <v>1</v>
      </c>
      <c r="C4" s="60">
        <v>3130123783.3899999</v>
      </c>
      <c r="D4" s="43">
        <v>6185525150.3800001</v>
      </c>
      <c r="E4" s="16"/>
      <c r="F4" s="9" t="s">
        <v>250</v>
      </c>
      <c r="G4" s="10">
        <v>3311381439.8299999</v>
      </c>
      <c r="H4" s="50">
        <v>6107064057.0699997</v>
      </c>
    </row>
    <row r="5" spans="2:8" ht="15.6" x14ac:dyDescent="0.3">
      <c r="B5" s="9" t="s">
        <v>2</v>
      </c>
      <c r="C5" s="60">
        <v>957122741.85000002</v>
      </c>
      <c r="D5" s="43">
        <v>835838852.13999999</v>
      </c>
      <c r="E5" s="16"/>
      <c r="F5" s="9" t="s">
        <v>110</v>
      </c>
      <c r="G5" s="10">
        <v>1056189223.0700001</v>
      </c>
      <c r="H5" s="50">
        <v>2004422552.9000001</v>
      </c>
    </row>
    <row r="6" spans="2:8" x14ac:dyDescent="0.3">
      <c r="B6" s="11" t="s">
        <v>3</v>
      </c>
      <c r="C6" s="61">
        <v>418304.67</v>
      </c>
      <c r="D6" s="44">
        <v>1417052.52</v>
      </c>
      <c r="E6" s="16"/>
      <c r="F6" s="11" t="s">
        <v>111</v>
      </c>
      <c r="G6" s="2">
        <v>253125744.65000001</v>
      </c>
      <c r="H6" s="51">
        <v>772127003.88999999</v>
      </c>
    </row>
    <row r="7" spans="2:8" ht="15.75" customHeight="1" x14ac:dyDescent="0.3">
      <c r="B7" s="11" t="s">
        <v>4</v>
      </c>
      <c r="C7" s="15">
        <v>0</v>
      </c>
      <c r="D7" s="45">
        <v>0</v>
      </c>
      <c r="E7" s="17"/>
      <c r="F7" s="11" t="s">
        <v>112</v>
      </c>
      <c r="G7" s="2">
        <v>802929828.11000001</v>
      </c>
      <c r="H7" s="51">
        <v>1232109095.78</v>
      </c>
    </row>
    <row r="8" spans="2:8" x14ac:dyDescent="0.3">
      <c r="B8" s="11" t="s">
        <v>5</v>
      </c>
      <c r="C8" s="61">
        <v>939945120.51999998</v>
      </c>
      <c r="D8" s="44">
        <v>810879728.33000004</v>
      </c>
      <c r="E8" s="16"/>
      <c r="F8" s="11" t="s">
        <v>113</v>
      </c>
      <c r="G8" s="19">
        <v>0</v>
      </c>
      <c r="H8" s="52">
        <v>0</v>
      </c>
    </row>
    <row r="9" spans="2:8" x14ac:dyDescent="0.3">
      <c r="B9" s="11" t="s">
        <v>6</v>
      </c>
      <c r="C9" s="15">
        <v>0</v>
      </c>
      <c r="D9" s="45">
        <v>0</v>
      </c>
      <c r="E9" s="17"/>
      <c r="F9" s="11" t="s">
        <v>114</v>
      </c>
      <c r="G9" s="19">
        <v>0</v>
      </c>
      <c r="H9" s="52">
        <v>0</v>
      </c>
    </row>
    <row r="10" spans="2:8" x14ac:dyDescent="0.3">
      <c r="B10" s="12" t="s">
        <v>7</v>
      </c>
      <c r="C10" s="61">
        <v>16759316.66</v>
      </c>
      <c r="D10" s="44">
        <v>23542071.289999999</v>
      </c>
      <c r="E10" s="16"/>
      <c r="F10" s="11" t="s">
        <v>115</v>
      </c>
      <c r="G10" s="19">
        <v>0</v>
      </c>
      <c r="H10" s="52">
        <v>0</v>
      </c>
    </row>
    <row r="11" spans="2:8" ht="15.6" x14ac:dyDescent="0.3">
      <c r="B11" s="9" t="s">
        <v>8</v>
      </c>
      <c r="C11" s="18">
        <v>0</v>
      </c>
      <c r="D11" s="46">
        <v>0</v>
      </c>
      <c r="E11" s="17"/>
      <c r="F11" s="11" t="s">
        <v>116</v>
      </c>
      <c r="G11" s="19">
        <v>0</v>
      </c>
      <c r="H11" s="52">
        <v>0</v>
      </c>
    </row>
    <row r="12" spans="2:8" x14ac:dyDescent="0.3">
      <c r="B12" s="11" t="s">
        <v>9</v>
      </c>
      <c r="C12" s="15">
        <v>0</v>
      </c>
      <c r="D12" s="45">
        <v>0</v>
      </c>
      <c r="E12" s="17"/>
      <c r="F12" s="11" t="s">
        <v>117</v>
      </c>
      <c r="G12" s="2">
        <v>133650.31</v>
      </c>
      <c r="H12" s="51">
        <v>186453.23</v>
      </c>
    </row>
    <row r="13" spans="2:8" ht="15.75" customHeight="1" x14ac:dyDescent="0.3">
      <c r="B13" s="11" t="s">
        <v>10</v>
      </c>
      <c r="C13" s="15">
        <v>0</v>
      </c>
      <c r="D13" s="45">
        <v>0</v>
      </c>
      <c r="E13" s="17"/>
      <c r="F13" s="9" t="s">
        <v>118</v>
      </c>
      <c r="G13" s="10">
        <v>1086236007.4300001</v>
      </c>
      <c r="H13" s="50">
        <v>1813240923.98</v>
      </c>
    </row>
    <row r="14" spans="2:8" x14ac:dyDescent="0.3">
      <c r="B14" s="11" t="s">
        <v>11</v>
      </c>
      <c r="C14" s="15">
        <v>0</v>
      </c>
      <c r="D14" s="45">
        <v>0</v>
      </c>
      <c r="E14" s="17"/>
      <c r="F14" s="11" t="s">
        <v>119</v>
      </c>
      <c r="G14" s="2">
        <v>1041714909.97</v>
      </c>
      <c r="H14" s="51">
        <v>1807219068.1600001</v>
      </c>
    </row>
    <row r="15" spans="2:8" x14ac:dyDescent="0.3">
      <c r="B15" s="11" t="s">
        <v>12</v>
      </c>
      <c r="C15" s="15">
        <v>0</v>
      </c>
      <c r="D15" s="45">
        <v>0</v>
      </c>
      <c r="E15" s="17"/>
      <c r="F15" s="11" t="s">
        <v>120</v>
      </c>
      <c r="G15" s="19">
        <v>0</v>
      </c>
      <c r="H15" s="52">
        <v>0</v>
      </c>
    </row>
    <row r="16" spans="2:8" x14ac:dyDescent="0.3">
      <c r="B16" s="11" t="s">
        <v>13</v>
      </c>
      <c r="C16" s="15">
        <v>0</v>
      </c>
      <c r="D16" s="45">
        <v>0</v>
      </c>
      <c r="E16" s="17"/>
      <c r="F16" s="11" t="s">
        <v>121</v>
      </c>
      <c r="G16" s="19">
        <v>0</v>
      </c>
      <c r="H16" s="52">
        <v>0</v>
      </c>
    </row>
    <row r="17" spans="2:8" ht="15.6" x14ac:dyDescent="0.3">
      <c r="B17" s="9" t="s">
        <v>14</v>
      </c>
      <c r="C17" s="60">
        <v>813051881.13</v>
      </c>
      <c r="D17" s="43">
        <v>2337427573.9000001</v>
      </c>
      <c r="E17" s="16"/>
      <c r="F17" s="11" t="s">
        <v>122</v>
      </c>
      <c r="G17" s="2">
        <v>44521097.460000001</v>
      </c>
      <c r="H17" s="51">
        <v>6021855.8200000003</v>
      </c>
    </row>
    <row r="18" spans="2:8" x14ac:dyDescent="0.3">
      <c r="B18" s="11" t="s">
        <v>15</v>
      </c>
      <c r="C18" s="61">
        <v>809493126.66999996</v>
      </c>
      <c r="D18" s="44">
        <v>2334914493.8899999</v>
      </c>
      <c r="E18" s="16"/>
      <c r="F18" s="11" t="s">
        <v>123</v>
      </c>
      <c r="G18" s="19">
        <v>0</v>
      </c>
      <c r="H18" s="52">
        <v>0</v>
      </c>
    </row>
    <row r="19" spans="2:8" ht="15.6" x14ac:dyDescent="0.3">
      <c r="B19" s="11" t="s">
        <v>16</v>
      </c>
      <c r="C19" s="15">
        <v>0</v>
      </c>
      <c r="D19" s="45">
        <v>0</v>
      </c>
      <c r="E19" s="17"/>
      <c r="F19" s="9" t="s">
        <v>124</v>
      </c>
      <c r="G19" s="10">
        <v>104971594.52</v>
      </c>
      <c r="H19" s="50">
        <v>120167035.70999999</v>
      </c>
    </row>
    <row r="20" spans="2:8" x14ac:dyDescent="0.3">
      <c r="B20" s="11" t="s">
        <v>17</v>
      </c>
      <c r="C20" s="15">
        <v>0</v>
      </c>
      <c r="D20" s="45">
        <v>0</v>
      </c>
      <c r="E20" s="17"/>
      <c r="F20" s="11" t="s">
        <v>125</v>
      </c>
      <c r="G20" s="19">
        <v>0</v>
      </c>
      <c r="H20" s="52">
        <v>0</v>
      </c>
    </row>
    <row r="21" spans="2:8" x14ac:dyDescent="0.3">
      <c r="B21" s="11" t="s">
        <v>18</v>
      </c>
      <c r="C21" s="15">
        <v>0</v>
      </c>
      <c r="D21" s="45">
        <v>0</v>
      </c>
      <c r="E21" s="17"/>
      <c r="F21" s="11" t="s">
        <v>126</v>
      </c>
      <c r="G21" s="19">
        <v>0</v>
      </c>
      <c r="H21" s="52">
        <v>0</v>
      </c>
    </row>
    <row r="22" spans="2:8" x14ac:dyDescent="0.3">
      <c r="B22" s="11" t="s">
        <v>19</v>
      </c>
      <c r="C22" s="61">
        <v>3558754.46</v>
      </c>
      <c r="D22" s="44">
        <v>2513080.0099999998</v>
      </c>
      <c r="E22" s="16"/>
      <c r="F22" s="11" t="s">
        <v>127</v>
      </c>
      <c r="G22" s="19">
        <v>0</v>
      </c>
      <c r="H22" s="52">
        <v>0</v>
      </c>
    </row>
    <row r="23" spans="2:8" x14ac:dyDescent="0.3">
      <c r="B23" s="11" t="s">
        <v>20</v>
      </c>
      <c r="C23" s="15">
        <v>0</v>
      </c>
      <c r="D23" s="45">
        <v>0</v>
      </c>
      <c r="E23" s="17"/>
      <c r="F23" s="11" t="s">
        <v>128</v>
      </c>
      <c r="G23" s="2">
        <v>1089107.1100000001</v>
      </c>
      <c r="H23" s="51">
        <v>2214135.13</v>
      </c>
    </row>
    <row r="24" spans="2:8" x14ac:dyDescent="0.3">
      <c r="B24" s="11" t="s">
        <v>21</v>
      </c>
      <c r="C24" s="61">
        <v>189176258.59999999</v>
      </c>
      <c r="D24" s="44">
        <v>199629577.18000001</v>
      </c>
      <c r="E24" s="16"/>
      <c r="F24" s="11" t="s">
        <v>129</v>
      </c>
      <c r="G24" s="2">
        <v>103882487.41</v>
      </c>
      <c r="H24" s="51">
        <v>117952900.58</v>
      </c>
    </row>
    <row r="25" spans="2:8" x14ac:dyDescent="0.3">
      <c r="B25" s="11" t="s">
        <v>22</v>
      </c>
      <c r="C25" s="61">
        <v>-189176258.59999999</v>
      </c>
      <c r="D25" s="44">
        <v>-199629577.18000001</v>
      </c>
      <c r="E25" s="16"/>
      <c r="F25" s="11" t="s">
        <v>130</v>
      </c>
      <c r="G25" s="19">
        <v>0</v>
      </c>
      <c r="H25" s="52">
        <v>0</v>
      </c>
    </row>
    <row r="26" spans="2:8" ht="15.6" x14ac:dyDescent="0.3">
      <c r="B26" s="9" t="s">
        <v>23</v>
      </c>
      <c r="C26" s="60">
        <v>9079289.5099999998</v>
      </c>
      <c r="D26" s="43">
        <v>20780049.989999998</v>
      </c>
      <c r="E26" s="16"/>
      <c r="F26" s="9" t="s">
        <v>131</v>
      </c>
      <c r="G26" s="10">
        <v>120940410.91</v>
      </c>
      <c r="H26" s="50">
        <v>131494519.26000001</v>
      </c>
    </row>
    <row r="27" spans="2:8" x14ac:dyDescent="0.3">
      <c r="B27" s="11" t="s">
        <v>24</v>
      </c>
      <c r="C27" s="15">
        <v>0</v>
      </c>
      <c r="D27" s="45">
        <v>0</v>
      </c>
      <c r="E27" s="17"/>
      <c r="F27" s="11" t="s">
        <v>132</v>
      </c>
      <c r="G27" s="2">
        <v>120922598.33</v>
      </c>
      <c r="H27" s="51">
        <v>131476707.08</v>
      </c>
    </row>
    <row r="28" spans="2:8" x14ac:dyDescent="0.3">
      <c r="B28" s="11" t="s">
        <v>25</v>
      </c>
      <c r="C28" s="61">
        <v>25579.27</v>
      </c>
      <c r="D28" s="44">
        <v>40271.46</v>
      </c>
      <c r="E28" s="16"/>
      <c r="F28" s="11" t="s">
        <v>133</v>
      </c>
      <c r="G28" s="2">
        <v>17812.580000000002</v>
      </c>
      <c r="H28" s="51">
        <v>17812.18</v>
      </c>
    </row>
    <row r="29" spans="2:8" ht="15.6" x14ac:dyDescent="0.3">
      <c r="B29" s="11" t="s">
        <v>26</v>
      </c>
      <c r="C29" s="15">
        <v>0</v>
      </c>
      <c r="D29" s="45">
        <v>0</v>
      </c>
      <c r="E29" s="17"/>
      <c r="F29" s="9" t="s">
        <v>134</v>
      </c>
      <c r="G29" s="19">
        <v>0</v>
      </c>
      <c r="H29" s="52">
        <v>0</v>
      </c>
    </row>
    <row r="30" spans="2:8" x14ac:dyDescent="0.3">
      <c r="B30" s="11" t="s">
        <v>27</v>
      </c>
      <c r="C30" s="61">
        <v>79112.009999999995</v>
      </c>
      <c r="D30" s="44">
        <v>144019.16</v>
      </c>
      <c r="E30" s="16"/>
      <c r="F30" s="11" t="s">
        <v>135</v>
      </c>
      <c r="G30" s="19">
        <v>0</v>
      </c>
      <c r="H30" s="52">
        <v>0</v>
      </c>
    </row>
    <row r="31" spans="2:8" ht="15.6" x14ac:dyDescent="0.3">
      <c r="B31" s="11" t="s">
        <v>28</v>
      </c>
      <c r="C31" s="61">
        <v>8974598.2300000004</v>
      </c>
      <c r="D31" s="44">
        <v>20595759.370000001</v>
      </c>
      <c r="E31" s="16"/>
      <c r="F31" s="9" t="s">
        <v>136</v>
      </c>
      <c r="G31" s="10">
        <v>154060520.28</v>
      </c>
      <c r="H31" s="50">
        <v>386873729.11000001</v>
      </c>
    </row>
    <row r="32" spans="2:8" x14ac:dyDescent="0.3">
      <c r="B32" s="11" t="s">
        <v>29</v>
      </c>
      <c r="C32" s="15">
        <v>0</v>
      </c>
      <c r="D32" s="45">
        <v>0</v>
      </c>
      <c r="E32" s="17"/>
      <c r="F32" s="11" t="s">
        <v>137</v>
      </c>
      <c r="G32" s="2">
        <v>130678734.98</v>
      </c>
      <c r="H32" s="51">
        <v>337786709.20999998</v>
      </c>
    </row>
    <row r="33" spans="2:8" x14ac:dyDescent="0.3">
      <c r="B33" s="11" t="s">
        <v>30</v>
      </c>
      <c r="C33" s="61">
        <v>1574728.05</v>
      </c>
      <c r="D33" s="44">
        <v>1574728.05</v>
      </c>
      <c r="E33" s="16"/>
      <c r="F33" s="11" t="s">
        <v>138</v>
      </c>
      <c r="G33" s="2">
        <v>19531850.949999999</v>
      </c>
      <c r="H33" s="51">
        <v>41239324.770000003</v>
      </c>
    </row>
    <row r="34" spans="2:8" x14ac:dyDescent="0.3">
      <c r="B34" s="11" t="s">
        <v>31</v>
      </c>
      <c r="C34" s="61">
        <v>-1574728.05</v>
      </c>
      <c r="D34" s="44">
        <v>-1574728.05</v>
      </c>
      <c r="E34" s="16"/>
      <c r="F34" s="11" t="s">
        <v>139</v>
      </c>
      <c r="G34" s="19">
        <v>0</v>
      </c>
      <c r="H34" s="52">
        <v>0</v>
      </c>
    </row>
    <row r="35" spans="2:8" ht="15.6" x14ac:dyDescent="0.3">
      <c r="B35" s="9" t="s">
        <v>32</v>
      </c>
      <c r="C35" s="60">
        <v>443683349.94</v>
      </c>
      <c r="D35" s="43">
        <v>387789014.94</v>
      </c>
      <c r="E35" s="16"/>
      <c r="F35" s="11" t="s">
        <v>140</v>
      </c>
      <c r="G35" s="2">
        <v>3849934.35</v>
      </c>
      <c r="H35" s="51">
        <v>7847695.1299999999</v>
      </c>
    </row>
    <row r="36" spans="2:8" ht="15.6" x14ac:dyDescent="0.3">
      <c r="B36" s="11" t="s">
        <v>33</v>
      </c>
      <c r="C36" s="15">
        <v>0</v>
      </c>
      <c r="D36" s="45">
        <v>0</v>
      </c>
      <c r="E36" s="17"/>
      <c r="F36" s="9" t="s">
        <v>141</v>
      </c>
      <c r="G36" s="10">
        <v>17313775.760000002</v>
      </c>
      <c r="H36" s="50">
        <v>25247898.98</v>
      </c>
    </row>
    <row r="37" spans="2:8" x14ac:dyDescent="0.3">
      <c r="B37" s="11" t="s">
        <v>34</v>
      </c>
      <c r="C37" s="15">
        <v>0</v>
      </c>
      <c r="D37" s="45">
        <v>0</v>
      </c>
      <c r="E37" s="17"/>
      <c r="F37" s="11" t="s">
        <v>142</v>
      </c>
      <c r="G37" s="2">
        <v>71729068.319999993</v>
      </c>
      <c r="H37" s="52">
        <v>0</v>
      </c>
    </row>
    <row r="38" spans="2:8" x14ac:dyDescent="0.3">
      <c r="B38" s="11" t="s">
        <v>35</v>
      </c>
      <c r="C38" s="15">
        <v>0</v>
      </c>
      <c r="D38" s="45">
        <v>0</v>
      </c>
      <c r="E38" s="17"/>
      <c r="F38" s="11" t="s">
        <v>143</v>
      </c>
      <c r="G38" s="2">
        <v>-71065087.680000007</v>
      </c>
      <c r="H38" s="52">
        <v>0</v>
      </c>
    </row>
    <row r="39" spans="2:8" x14ac:dyDescent="0.3">
      <c r="B39" s="11" t="s">
        <v>36</v>
      </c>
      <c r="C39" s="61">
        <v>209312758.58000001</v>
      </c>
      <c r="D39" s="44">
        <v>312205797.81999999</v>
      </c>
      <c r="E39" s="16"/>
      <c r="F39" s="11" t="s">
        <v>144</v>
      </c>
      <c r="G39" s="2">
        <v>16649795.119999999</v>
      </c>
      <c r="H39" s="51">
        <v>25247898.98</v>
      </c>
    </row>
    <row r="40" spans="2:8" x14ac:dyDescent="0.3">
      <c r="B40" s="11" t="s">
        <v>37</v>
      </c>
      <c r="C40" s="15">
        <v>0</v>
      </c>
      <c r="D40" s="45">
        <v>0</v>
      </c>
      <c r="E40" s="17"/>
      <c r="F40" s="11" t="s">
        <v>145</v>
      </c>
      <c r="G40" s="19">
        <v>0</v>
      </c>
      <c r="H40" s="52">
        <v>0</v>
      </c>
    </row>
    <row r="41" spans="2:8" ht="15.6" x14ac:dyDescent="0.3">
      <c r="B41" s="11" t="s">
        <v>38</v>
      </c>
      <c r="C41" s="61">
        <v>7879047.71</v>
      </c>
      <c r="D41" s="44">
        <v>19655376.149999999</v>
      </c>
      <c r="E41" s="16"/>
      <c r="F41" s="9" t="s">
        <v>146</v>
      </c>
      <c r="G41" s="10">
        <v>771669907.86000001</v>
      </c>
      <c r="H41" s="50">
        <v>1625617397.1300001</v>
      </c>
    </row>
    <row r="42" spans="2:8" x14ac:dyDescent="0.3">
      <c r="B42" s="11" t="s">
        <v>39</v>
      </c>
      <c r="C42" s="15">
        <v>0</v>
      </c>
      <c r="D42" s="45">
        <v>0</v>
      </c>
      <c r="E42" s="17"/>
      <c r="F42" s="11" t="s">
        <v>147</v>
      </c>
      <c r="G42" s="2">
        <v>796117.31</v>
      </c>
      <c r="H42" s="51">
        <v>435774196.94</v>
      </c>
    </row>
    <row r="43" spans="2:8" x14ac:dyDescent="0.3">
      <c r="B43" s="11" t="s">
        <v>40</v>
      </c>
      <c r="C43" s="61">
        <v>226491543.65000001</v>
      </c>
      <c r="D43" s="44">
        <v>55927840.969999999</v>
      </c>
      <c r="E43" s="16"/>
      <c r="F43" s="11" t="s">
        <v>148</v>
      </c>
      <c r="G43" s="2">
        <v>770873790.54999995</v>
      </c>
      <c r="H43" s="51">
        <v>1189843200.1900001</v>
      </c>
    </row>
    <row r="44" spans="2:8" ht="15.6" x14ac:dyDescent="0.3">
      <c r="B44" s="9" t="s">
        <v>41</v>
      </c>
      <c r="C44" s="15">
        <v>0</v>
      </c>
      <c r="D44" s="46">
        <v>0</v>
      </c>
      <c r="E44" s="17"/>
      <c r="F44" s="9" t="s">
        <v>149</v>
      </c>
      <c r="G44" s="21">
        <v>0</v>
      </c>
      <c r="H44" s="53">
        <v>0</v>
      </c>
    </row>
    <row r="45" spans="2:8" x14ac:dyDescent="0.3">
      <c r="B45" s="11" t="s">
        <v>42</v>
      </c>
      <c r="C45" s="15">
        <v>0</v>
      </c>
      <c r="D45" s="45">
        <v>0</v>
      </c>
      <c r="E45" s="17"/>
      <c r="F45" s="11" t="s">
        <v>150</v>
      </c>
      <c r="G45" s="19">
        <v>0</v>
      </c>
      <c r="H45" s="52">
        <v>0</v>
      </c>
    </row>
    <row r="46" spans="2:8" x14ac:dyDescent="0.3">
      <c r="B46" s="11" t="s">
        <v>43</v>
      </c>
      <c r="C46" s="15">
        <v>0</v>
      </c>
      <c r="D46" s="45">
        <v>0</v>
      </c>
      <c r="E46" s="17"/>
      <c r="F46" s="11" t="s">
        <v>151</v>
      </c>
      <c r="G46" s="19">
        <v>0</v>
      </c>
      <c r="H46" s="52">
        <v>0</v>
      </c>
    </row>
    <row r="47" spans="2:8" ht="15.6" x14ac:dyDescent="0.3">
      <c r="B47" s="9" t="s">
        <v>44</v>
      </c>
      <c r="C47" s="60">
        <v>907044267.05999994</v>
      </c>
      <c r="D47" s="43">
        <v>2603378528.0999999</v>
      </c>
      <c r="E47" s="16"/>
      <c r="F47" s="11" t="s">
        <v>152</v>
      </c>
      <c r="G47" s="19">
        <v>0</v>
      </c>
      <c r="H47" s="52">
        <v>0</v>
      </c>
    </row>
    <row r="48" spans="2:8" ht="15.6" x14ac:dyDescent="0.3">
      <c r="B48" s="11" t="s">
        <v>45</v>
      </c>
      <c r="C48" s="61">
        <v>64976271.520000003</v>
      </c>
      <c r="D48" s="44">
        <v>431196892.06</v>
      </c>
      <c r="E48" s="16"/>
      <c r="F48" s="9" t="s">
        <v>153</v>
      </c>
      <c r="G48" s="10">
        <v>5293801985.8699999</v>
      </c>
      <c r="H48" s="50">
        <v>7499213103.4499998</v>
      </c>
    </row>
    <row r="49" spans="2:8" ht="15.6" x14ac:dyDescent="0.3">
      <c r="B49" s="11" t="s">
        <v>46</v>
      </c>
      <c r="C49" s="61">
        <v>842067995.53999996</v>
      </c>
      <c r="D49" s="44">
        <v>2172181636.04</v>
      </c>
      <c r="E49" s="16"/>
      <c r="F49" s="9" t="s">
        <v>110</v>
      </c>
      <c r="G49" s="10">
        <v>4727790350.7600002</v>
      </c>
      <c r="H49" s="51">
        <v>6559688754.6999998</v>
      </c>
    </row>
    <row r="50" spans="2:8" ht="15.6" x14ac:dyDescent="0.3">
      <c r="B50" s="9" t="s">
        <v>47</v>
      </c>
      <c r="C50" s="60">
        <v>142253.9</v>
      </c>
      <c r="D50" s="43">
        <v>311131.31</v>
      </c>
      <c r="E50" s="16"/>
      <c r="F50" s="11" t="s">
        <v>111</v>
      </c>
      <c r="G50" s="2">
        <v>4727790350.7600002</v>
      </c>
      <c r="H50" s="51">
        <v>6559688754.6999998</v>
      </c>
    </row>
    <row r="51" spans="2:8" x14ac:dyDescent="0.3">
      <c r="B51" s="11" t="s">
        <v>48</v>
      </c>
      <c r="C51" s="15">
        <v>0</v>
      </c>
      <c r="D51" s="45">
        <v>0</v>
      </c>
      <c r="E51" s="17"/>
      <c r="F51" s="11" t="s">
        <v>154</v>
      </c>
      <c r="G51" s="19">
        <v>0</v>
      </c>
      <c r="H51" s="52">
        <v>0</v>
      </c>
    </row>
    <row r="52" spans="2:8" x14ac:dyDescent="0.3">
      <c r="B52" s="11" t="s">
        <v>49</v>
      </c>
      <c r="C52" s="15">
        <v>0</v>
      </c>
      <c r="D52" s="45">
        <v>0</v>
      </c>
      <c r="E52" s="17"/>
      <c r="F52" s="11" t="s">
        <v>155</v>
      </c>
      <c r="G52" s="19">
        <v>0</v>
      </c>
      <c r="H52" s="52">
        <v>0</v>
      </c>
    </row>
    <row r="53" spans="2:8" x14ac:dyDescent="0.3">
      <c r="B53" s="11" t="s">
        <v>50</v>
      </c>
      <c r="C53" s="15">
        <v>0</v>
      </c>
      <c r="D53" s="45">
        <v>0</v>
      </c>
      <c r="E53" s="17"/>
      <c r="F53" s="11" t="s">
        <v>156</v>
      </c>
      <c r="G53" s="19">
        <v>0</v>
      </c>
      <c r="H53" s="52">
        <v>0</v>
      </c>
    </row>
    <row r="54" spans="2:8" x14ac:dyDescent="0.3">
      <c r="B54" s="11" t="s">
        <v>51</v>
      </c>
      <c r="C54" s="61">
        <v>61220.85</v>
      </c>
      <c r="D54" s="44">
        <v>116515.17</v>
      </c>
      <c r="E54" s="16"/>
      <c r="F54" s="11" t="s">
        <v>157</v>
      </c>
      <c r="G54" s="19">
        <v>0</v>
      </c>
      <c r="H54" s="52">
        <v>0</v>
      </c>
    </row>
    <row r="55" spans="2:8" ht="15.6" x14ac:dyDescent="0.3">
      <c r="B55" s="11" t="s">
        <v>52</v>
      </c>
      <c r="C55" s="15">
        <v>0</v>
      </c>
      <c r="D55" s="45">
        <v>0</v>
      </c>
      <c r="E55" s="16"/>
      <c r="F55" s="9" t="s">
        <v>118</v>
      </c>
      <c r="G55" s="10">
        <v>19420.89</v>
      </c>
      <c r="H55" s="50">
        <v>65538155.229999997</v>
      </c>
    </row>
    <row r="56" spans="2:8" x14ac:dyDescent="0.3">
      <c r="B56" s="11" t="s">
        <v>53</v>
      </c>
      <c r="C56" s="61">
        <v>81033.05</v>
      </c>
      <c r="D56" s="44">
        <v>194616.14</v>
      </c>
      <c r="E56" s="16"/>
      <c r="F56" s="11" t="s">
        <v>119</v>
      </c>
      <c r="G56" s="19">
        <v>0</v>
      </c>
      <c r="H56" s="52">
        <v>0</v>
      </c>
    </row>
    <row r="57" spans="2:8" x14ac:dyDescent="0.3">
      <c r="B57" s="11" t="s">
        <v>54</v>
      </c>
      <c r="C57" s="15">
        <v>0</v>
      </c>
      <c r="D57" s="45">
        <v>0</v>
      </c>
      <c r="E57" s="17"/>
      <c r="F57" s="11" t="s">
        <v>120</v>
      </c>
      <c r="G57" s="19">
        <v>0</v>
      </c>
      <c r="H57" s="52">
        <v>0</v>
      </c>
    </row>
    <row r="58" spans="2:8" x14ac:dyDescent="0.3">
      <c r="B58" s="11" t="s">
        <v>55</v>
      </c>
      <c r="C58" s="15">
        <v>0</v>
      </c>
      <c r="D58" s="45">
        <v>0</v>
      </c>
      <c r="E58" s="17"/>
      <c r="F58" s="11" t="s">
        <v>158</v>
      </c>
      <c r="G58" s="19">
        <v>0</v>
      </c>
      <c r="H58" s="52">
        <v>0</v>
      </c>
    </row>
    <row r="59" spans="2:8" x14ac:dyDescent="0.3">
      <c r="B59" s="11" t="s">
        <v>56</v>
      </c>
      <c r="C59" s="15">
        <v>0</v>
      </c>
      <c r="D59" s="45">
        <v>0</v>
      </c>
      <c r="E59" s="17"/>
      <c r="F59" s="11" t="s">
        <v>122</v>
      </c>
      <c r="G59" s="2">
        <v>19420.89</v>
      </c>
      <c r="H59" s="51">
        <v>65538155.229999997</v>
      </c>
    </row>
    <row r="60" spans="2:8" ht="15.6" x14ac:dyDescent="0.3">
      <c r="B60" s="9" t="s">
        <v>57</v>
      </c>
      <c r="C60" s="60">
        <v>13703387444.42</v>
      </c>
      <c r="D60" s="43">
        <v>14114429038.780001</v>
      </c>
      <c r="E60" s="16"/>
      <c r="F60" s="11" t="s">
        <v>123</v>
      </c>
      <c r="G60" s="19">
        <v>0</v>
      </c>
      <c r="H60" s="52">
        <v>0</v>
      </c>
    </row>
    <row r="61" spans="2:8" ht="15.6" x14ac:dyDescent="0.3">
      <c r="B61" s="9" t="s">
        <v>58</v>
      </c>
      <c r="C61" s="60">
        <v>2386404.35</v>
      </c>
      <c r="D61" s="43">
        <v>5078001.54</v>
      </c>
      <c r="E61" s="16"/>
      <c r="F61" s="9" t="s">
        <v>124</v>
      </c>
      <c r="G61" s="10">
        <v>373966000</v>
      </c>
      <c r="H61" s="50">
        <v>588837341.44000006</v>
      </c>
    </row>
    <row r="62" spans="2:8" x14ac:dyDescent="0.3">
      <c r="B62" s="11" t="s">
        <v>15</v>
      </c>
      <c r="C62" s="15">
        <v>0</v>
      </c>
      <c r="D62" s="45">
        <v>0</v>
      </c>
      <c r="E62" s="17"/>
      <c r="F62" s="11" t="s">
        <v>125</v>
      </c>
      <c r="G62" s="19">
        <v>0</v>
      </c>
      <c r="H62" s="52">
        <v>0</v>
      </c>
    </row>
    <row r="63" spans="2:8" x14ac:dyDescent="0.3">
      <c r="B63" s="11" t="s">
        <v>16</v>
      </c>
      <c r="C63" s="15">
        <v>0</v>
      </c>
      <c r="D63" s="45">
        <v>0</v>
      </c>
      <c r="E63" s="17"/>
      <c r="F63" s="11" t="s">
        <v>126</v>
      </c>
      <c r="G63" s="19">
        <v>0</v>
      </c>
      <c r="H63" s="52">
        <v>0</v>
      </c>
    </row>
    <row r="64" spans="2:8" x14ac:dyDescent="0.3">
      <c r="B64" s="11" t="s">
        <v>59</v>
      </c>
      <c r="C64" s="15">
        <v>0</v>
      </c>
      <c r="D64" s="45">
        <v>0</v>
      </c>
      <c r="E64" s="17"/>
      <c r="F64" s="11" t="s">
        <v>127</v>
      </c>
      <c r="G64" s="2">
        <v>373966000</v>
      </c>
      <c r="H64" s="51">
        <v>588837341.44000006</v>
      </c>
    </row>
    <row r="65" spans="2:8" x14ac:dyDescent="0.3">
      <c r="B65" s="11" t="s">
        <v>60</v>
      </c>
      <c r="C65" s="61">
        <v>2386404.35</v>
      </c>
      <c r="D65" s="44">
        <v>5078001.54</v>
      </c>
      <c r="E65" s="16"/>
      <c r="F65" s="11" t="s">
        <v>159</v>
      </c>
      <c r="G65" s="19">
        <v>0</v>
      </c>
      <c r="H65" s="52">
        <v>0</v>
      </c>
    </row>
    <row r="66" spans="2:8" x14ac:dyDescent="0.3">
      <c r="B66" s="11" t="s">
        <v>61</v>
      </c>
      <c r="C66" s="15">
        <v>0</v>
      </c>
      <c r="D66" s="45">
        <v>0</v>
      </c>
      <c r="E66" s="17"/>
      <c r="F66" s="11" t="s">
        <v>160</v>
      </c>
      <c r="G66" s="19">
        <v>0</v>
      </c>
      <c r="H66" s="52">
        <v>0</v>
      </c>
    </row>
    <row r="67" spans="2:8" ht="15.6" x14ac:dyDescent="0.3">
      <c r="B67" s="9" t="s">
        <v>62</v>
      </c>
      <c r="C67" s="18">
        <v>0</v>
      </c>
      <c r="D67" s="46">
        <v>0</v>
      </c>
      <c r="E67" s="17"/>
      <c r="F67" s="11" t="s">
        <v>161</v>
      </c>
      <c r="G67" s="19">
        <v>0</v>
      </c>
      <c r="H67" s="52">
        <v>0</v>
      </c>
    </row>
    <row r="68" spans="2:8" x14ac:dyDescent="0.3">
      <c r="B68" s="11" t="s">
        <v>24</v>
      </c>
      <c r="C68" s="15">
        <v>0</v>
      </c>
      <c r="D68" s="45">
        <v>0</v>
      </c>
      <c r="E68" s="17"/>
      <c r="F68" s="4" t="s">
        <v>131</v>
      </c>
      <c r="G68" s="19">
        <v>0</v>
      </c>
      <c r="H68" s="52">
        <v>0</v>
      </c>
    </row>
    <row r="69" spans="2:8" ht="15.6" x14ac:dyDescent="0.3">
      <c r="B69" s="11" t="s">
        <v>25</v>
      </c>
      <c r="C69" s="15">
        <v>0</v>
      </c>
      <c r="D69" s="45">
        <v>0</v>
      </c>
      <c r="E69" s="17"/>
      <c r="F69" s="9" t="s">
        <v>162</v>
      </c>
      <c r="G69" s="10">
        <v>180892232.59999999</v>
      </c>
      <c r="H69" s="50">
        <v>262587918.50999999</v>
      </c>
    </row>
    <row r="70" spans="2:8" x14ac:dyDescent="0.3">
      <c r="B70" s="11" t="s">
        <v>26</v>
      </c>
      <c r="C70" s="15">
        <v>0</v>
      </c>
      <c r="D70" s="45">
        <v>0</v>
      </c>
      <c r="E70" s="17"/>
      <c r="F70" s="11" t="s">
        <v>163</v>
      </c>
      <c r="G70" s="2">
        <v>180892232.59999999</v>
      </c>
      <c r="H70" s="51">
        <v>262587918.50999999</v>
      </c>
    </row>
    <row r="71" spans="2:8" x14ac:dyDescent="0.3">
      <c r="B71" s="11" t="s">
        <v>27</v>
      </c>
      <c r="C71" s="15">
        <v>0</v>
      </c>
      <c r="D71" s="45">
        <v>0</v>
      </c>
      <c r="E71" s="17"/>
      <c r="F71" s="11" t="s">
        <v>164</v>
      </c>
      <c r="G71" s="19">
        <v>0</v>
      </c>
      <c r="H71" s="52">
        <v>0</v>
      </c>
    </row>
    <row r="72" spans="2:8" ht="15.6" x14ac:dyDescent="0.3">
      <c r="B72" s="11" t="s">
        <v>28</v>
      </c>
      <c r="C72" s="15">
        <v>0</v>
      </c>
      <c r="D72" s="45">
        <v>0</v>
      </c>
      <c r="E72" s="17"/>
      <c r="F72" s="9" t="s">
        <v>165</v>
      </c>
      <c r="G72" s="10">
        <v>11133981.619999999</v>
      </c>
      <c r="H72" s="50">
        <v>22560933.57</v>
      </c>
    </row>
    <row r="73" spans="2:8" x14ac:dyDescent="0.3">
      <c r="B73" s="11" t="s">
        <v>29</v>
      </c>
      <c r="C73" s="15">
        <v>0</v>
      </c>
      <c r="D73" s="45">
        <v>0</v>
      </c>
      <c r="E73" s="17"/>
      <c r="F73" s="11" t="s">
        <v>166</v>
      </c>
      <c r="G73" s="2">
        <v>11133981.619999999</v>
      </c>
      <c r="H73" s="51">
        <v>22560933.57</v>
      </c>
    </row>
    <row r="74" spans="2:8" x14ac:dyDescent="0.3">
      <c r="B74" s="11" t="s">
        <v>63</v>
      </c>
      <c r="C74" s="15">
        <v>0</v>
      </c>
      <c r="D74" s="45">
        <v>0</v>
      </c>
      <c r="E74" s="17"/>
      <c r="F74" s="11" t="s">
        <v>148</v>
      </c>
      <c r="G74" s="19">
        <v>0</v>
      </c>
      <c r="H74" s="52">
        <v>0</v>
      </c>
    </row>
    <row r="75" spans="2:8" ht="15.6" x14ac:dyDescent="0.3">
      <c r="B75" s="9" t="s">
        <v>64</v>
      </c>
      <c r="C75" s="60">
        <v>112600390.97</v>
      </c>
      <c r="D75" s="43">
        <v>116600390.97</v>
      </c>
      <c r="E75" s="16"/>
      <c r="F75" s="9" t="s">
        <v>167</v>
      </c>
      <c r="G75" s="21">
        <v>0</v>
      </c>
      <c r="H75" s="53">
        <v>0</v>
      </c>
    </row>
    <row r="76" spans="2:8" x14ac:dyDescent="0.3">
      <c r="B76" s="11" t="s">
        <v>65</v>
      </c>
      <c r="C76" s="61">
        <v>9628939.0099999998</v>
      </c>
      <c r="D76" s="44">
        <v>9628939.0099999998</v>
      </c>
      <c r="E76" s="16"/>
      <c r="F76" s="11" t="s">
        <v>168</v>
      </c>
      <c r="G76" s="19">
        <v>0</v>
      </c>
      <c r="H76" s="52">
        <v>0</v>
      </c>
    </row>
    <row r="77" spans="2:8" x14ac:dyDescent="0.3">
      <c r="B77" s="11" t="s">
        <v>66</v>
      </c>
      <c r="C77" s="15">
        <v>0</v>
      </c>
      <c r="D77" s="45">
        <v>0</v>
      </c>
      <c r="E77" s="17"/>
      <c r="F77" s="11" t="s">
        <v>169</v>
      </c>
      <c r="G77" s="19">
        <v>0</v>
      </c>
      <c r="H77" s="52">
        <v>0</v>
      </c>
    </row>
    <row r="78" spans="2:8" x14ac:dyDescent="0.3">
      <c r="B78" s="11" t="s">
        <v>67</v>
      </c>
      <c r="C78" s="61">
        <v>14600000</v>
      </c>
      <c r="D78" s="44">
        <v>18600000</v>
      </c>
      <c r="E78" s="16"/>
      <c r="F78" s="11" t="s">
        <v>170</v>
      </c>
      <c r="G78" s="19">
        <v>0</v>
      </c>
      <c r="H78" s="52">
        <v>0</v>
      </c>
    </row>
    <row r="79" spans="2:8" ht="15.6" x14ac:dyDescent="0.3">
      <c r="B79" s="11" t="s">
        <v>68</v>
      </c>
      <c r="C79" s="15">
        <v>0</v>
      </c>
      <c r="D79" s="45">
        <v>0</v>
      </c>
      <c r="E79" s="17"/>
      <c r="F79" s="9" t="s">
        <v>251</v>
      </c>
      <c r="G79" s="10">
        <v>8228327802.1099997</v>
      </c>
      <c r="H79" s="50">
        <f>9114636052.98+H98</f>
        <v>6693677028.6399994</v>
      </c>
    </row>
    <row r="80" spans="2:8" ht="15.6" x14ac:dyDescent="0.3">
      <c r="B80" s="11" t="s">
        <v>69</v>
      </c>
      <c r="C80" s="15">
        <v>0</v>
      </c>
      <c r="D80" s="45">
        <v>0</v>
      </c>
      <c r="E80" s="17"/>
      <c r="F80" s="9" t="s">
        <v>171</v>
      </c>
      <c r="G80" s="10">
        <v>3168817454</v>
      </c>
      <c r="H80" s="50">
        <v>8053743283</v>
      </c>
    </row>
    <row r="81" spans="2:8" x14ac:dyDescent="0.3">
      <c r="B81" s="11" t="s">
        <v>70</v>
      </c>
      <c r="C81" s="61">
        <v>88371451.959999993</v>
      </c>
      <c r="D81" s="44">
        <v>88371451.959999993</v>
      </c>
      <c r="E81" s="16"/>
      <c r="F81" s="11" t="s">
        <v>172</v>
      </c>
      <c r="G81" s="2">
        <v>3168817454</v>
      </c>
      <c r="H81" s="51">
        <v>8053743283</v>
      </c>
    </row>
    <row r="82" spans="2:8" x14ac:dyDescent="0.3">
      <c r="B82" s="11" t="s">
        <v>71</v>
      </c>
      <c r="C82" s="15">
        <v>0</v>
      </c>
      <c r="D82" s="45">
        <v>0</v>
      </c>
      <c r="E82" s="17"/>
      <c r="F82" s="11" t="s">
        <v>173</v>
      </c>
      <c r="G82" s="19">
        <v>0</v>
      </c>
      <c r="H82" s="52">
        <v>0</v>
      </c>
    </row>
    <row r="83" spans="2:8" ht="15.6" x14ac:dyDescent="0.3">
      <c r="B83" s="11" t="s">
        <v>72</v>
      </c>
      <c r="C83" s="15">
        <v>0</v>
      </c>
      <c r="D83" s="45">
        <v>0</v>
      </c>
      <c r="E83" s="17"/>
      <c r="F83" s="9" t="s">
        <v>174</v>
      </c>
      <c r="G83" s="10">
        <v>4757546919.1300001</v>
      </c>
      <c r="H83" s="50">
        <v>882721797.82000005</v>
      </c>
    </row>
    <row r="84" spans="2:8" ht="15.6" x14ac:dyDescent="0.3">
      <c r="B84" s="9" t="s">
        <v>73</v>
      </c>
      <c r="C84" s="60">
        <v>11431085702.459999</v>
      </c>
      <c r="D84" s="43">
        <v>11823605589.67</v>
      </c>
      <c r="E84" s="16"/>
      <c r="F84" s="11" t="s">
        <v>175</v>
      </c>
      <c r="G84" s="19">
        <v>0</v>
      </c>
      <c r="H84" s="52">
        <v>0</v>
      </c>
    </row>
    <row r="85" spans="2:8" x14ac:dyDescent="0.3">
      <c r="B85" s="11" t="s">
        <v>74</v>
      </c>
      <c r="C85" s="61">
        <v>12010508.800000001</v>
      </c>
      <c r="D85" s="44">
        <v>3758002.05</v>
      </c>
      <c r="E85" s="16"/>
      <c r="F85" s="11" t="s">
        <v>176</v>
      </c>
      <c r="G85" s="19">
        <v>0</v>
      </c>
      <c r="H85" s="52">
        <v>0</v>
      </c>
    </row>
    <row r="86" spans="2:8" x14ac:dyDescent="0.3">
      <c r="B86" s="11" t="s">
        <v>75</v>
      </c>
      <c r="C86" s="61">
        <v>25205023.879999999</v>
      </c>
      <c r="D86" s="44">
        <v>30180371.140000001</v>
      </c>
      <c r="E86" s="16"/>
      <c r="F86" s="11" t="s">
        <v>177</v>
      </c>
      <c r="G86" s="2">
        <v>4756080431.1300001</v>
      </c>
      <c r="H86" s="51">
        <v>882721797.82000005</v>
      </c>
    </row>
    <row r="87" spans="2:8" x14ac:dyDescent="0.3">
      <c r="B87" s="11" t="s">
        <v>76</v>
      </c>
      <c r="C87" s="61">
        <v>50273659.920000002</v>
      </c>
      <c r="D87" s="44">
        <v>127743746.42</v>
      </c>
      <c r="E87" s="16"/>
      <c r="F87" s="11" t="s">
        <v>178</v>
      </c>
      <c r="G87" s="19">
        <v>0</v>
      </c>
      <c r="H87" s="52">
        <v>0</v>
      </c>
    </row>
    <row r="88" spans="2:8" x14ac:dyDescent="0.3">
      <c r="B88" s="11" t="s">
        <v>77</v>
      </c>
      <c r="C88" s="61">
        <v>16548375801.99</v>
      </c>
      <c r="D88" s="44">
        <v>18578765196.299999</v>
      </c>
      <c r="E88" s="16"/>
      <c r="F88" s="11" t="s">
        <v>179</v>
      </c>
      <c r="G88" s="2">
        <v>1466488</v>
      </c>
      <c r="H88" s="52">
        <v>0</v>
      </c>
    </row>
    <row r="89" spans="2:8" ht="15.6" x14ac:dyDescent="0.3">
      <c r="B89" s="11" t="s">
        <v>78</v>
      </c>
      <c r="C89" s="61">
        <v>2548064.61</v>
      </c>
      <c r="D89" s="44">
        <v>9808368.1400000006</v>
      </c>
      <c r="E89" s="16"/>
      <c r="F89" s="9" t="s">
        <v>180</v>
      </c>
      <c r="G89" s="10">
        <v>164210414.59999999</v>
      </c>
      <c r="H89" s="50">
        <v>174584518.74000001</v>
      </c>
    </row>
    <row r="90" spans="2:8" x14ac:dyDescent="0.3">
      <c r="B90" s="11" t="s">
        <v>79</v>
      </c>
      <c r="C90" s="61">
        <v>14130583.51</v>
      </c>
      <c r="D90" s="44">
        <v>18114636.289999999</v>
      </c>
      <c r="E90" s="16"/>
      <c r="F90" s="11" t="s">
        <v>181</v>
      </c>
      <c r="G90" s="2">
        <v>164016692.59999999</v>
      </c>
      <c r="H90" s="51">
        <v>174390796.74000001</v>
      </c>
    </row>
    <row r="91" spans="2:8" x14ac:dyDescent="0.3">
      <c r="B91" s="11" t="s">
        <v>80</v>
      </c>
      <c r="C91" s="61">
        <v>11280751.380000001</v>
      </c>
      <c r="D91" s="44">
        <v>12690956</v>
      </c>
      <c r="E91" s="16"/>
      <c r="F91" s="11" t="s">
        <v>182</v>
      </c>
      <c r="G91" s="2">
        <v>0</v>
      </c>
      <c r="H91" s="52">
        <v>0</v>
      </c>
    </row>
    <row r="92" spans="2:8" x14ac:dyDescent="0.3">
      <c r="B92" s="11" t="s">
        <v>81</v>
      </c>
      <c r="C92" s="61">
        <v>-6215135160.0200005</v>
      </c>
      <c r="D92" s="44">
        <v>-8167930464.3199997</v>
      </c>
      <c r="E92" s="16"/>
      <c r="F92" s="11" t="s">
        <v>183</v>
      </c>
      <c r="G92" s="19">
        <v>0</v>
      </c>
      <c r="H92" s="52">
        <v>0</v>
      </c>
    </row>
    <row r="93" spans="2:8" x14ac:dyDescent="0.3">
      <c r="B93" s="11" t="s">
        <v>82</v>
      </c>
      <c r="C93" s="61">
        <v>982396468.38999999</v>
      </c>
      <c r="D93" s="44">
        <v>1210474777.6500001</v>
      </c>
      <c r="E93" s="16"/>
      <c r="F93" s="11" t="s">
        <v>184</v>
      </c>
      <c r="G93" s="19">
        <v>0</v>
      </c>
      <c r="H93" s="52">
        <v>0</v>
      </c>
    </row>
    <row r="94" spans="2:8" x14ac:dyDescent="0.3">
      <c r="B94" s="11" t="s">
        <v>83</v>
      </c>
      <c r="C94" s="15">
        <v>0</v>
      </c>
      <c r="D94" s="45">
        <v>0</v>
      </c>
      <c r="E94" s="17"/>
      <c r="F94" s="11" t="s">
        <v>185</v>
      </c>
      <c r="G94" s="2">
        <v>193722</v>
      </c>
      <c r="H94" s="51">
        <v>193722</v>
      </c>
    </row>
    <row r="95" spans="2:8" ht="15.6" x14ac:dyDescent="0.3">
      <c r="B95" s="9" t="s">
        <v>84</v>
      </c>
      <c r="C95" s="60">
        <v>354292663.30000001</v>
      </c>
      <c r="D95" s="43">
        <v>502409176.88</v>
      </c>
      <c r="E95" s="16"/>
      <c r="F95" s="4" t="s">
        <v>186</v>
      </c>
      <c r="G95" s="5">
        <v>2000000</v>
      </c>
      <c r="H95" s="50">
        <v>3586453.42</v>
      </c>
    </row>
    <row r="96" spans="2:8" x14ac:dyDescent="0.3">
      <c r="B96" s="11" t="s">
        <v>85</v>
      </c>
      <c r="C96" s="61">
        <v>490414072.36000001</v>
      </c>
      <c r="D96" s="44">
        <v>591652279.40999997</v>
      </c>
      <c r="E96" s="16"/>
      <c r="F96" s="4" t="s">
        <v>187</v>
      </c>
      <c r="G96" s="19">
        <v>0</v>
      </c>
      <c r="H96" s="52">
        <v>0</v>
      </c>
    </row>
    <row r="97" spans="2:8" ht="15.6" x14ac:dyDescent="0.3">
      <c r="B97" s="11" t="s">
        <v>86</v>
      </c>
      <c r="C97" s="15">
        <v>0</v>
      </c>
      <c r="D97" s="45">
        <v>0</v>
      </c>
      <c r="E97" s="17"/>
      <c r="F97" s="4" t="s">
        <v>188</v>
      </c>
      <c r="G97" s="10">
        <v>135753014.38</v>
      </c>
      <c r="H97" s="52"/>
    </row>
    <row r="98" spans="2:8" ht="15.6" x14ac:dyDescent="0.3">
      <c r="B98" s="11" t="s">
        <v>87</v>
      </c>
      <c r="C98" s="15">
        <v>0</v>
      </c>
      <c r="D98" s="45">
        <v>0</v>
      </c>
      <c r="E98" s="17"/>
      <c r="F98" s="4" t="s">
        <v>189</v>
      </c>
      <c r="G98" s="19">
        <v>0</v>
      </c>
      <c r="H98" s="54">
        <v>-2420959024.3400002</v>
      </c>
    </row>
    <row r="99" spans="2:8" x14ac:dyDescent="0.3">
      <c r="B99" s="11" t="s">
        <v>88</v>
      </c>
      <c r="C99" s="61">
        <v>19746553.960000001</v>
      </c>
      <c r="D99" s="44">
        <v>85713010.180000007</v>
      </c>
      <c r="E99" s="16"/>
      <c r="F99" s="3"/>
      <c r="G99" s="2"/>
      <c r="H99" s="51"/>
    </row>
    <row r="100" spans="2:8" x14ac:dyDescent="0.3">
      <c r="B100" s="11" t="s">
        <v>89</v>
      </c>
      <c r="C100" s="61">
        <v>15299735.85</v>
      </c>
      <c r="D100" s="44">
        <v>50738449.140000001</v>
      </c>
      <c r="E100" s="16"/>
      <c r="F100" s="3"/>
      <c r="G100" s="2"/>
      <c r="H100" s="55"/>
    </row>
    <row r="101" spans="2:8" x14ac:dyDescent="0.3">
      <c r="B101" s="11" t="s">
        <v>90</v>
      </c>
      <c r="C101" s="61">
        <v>318335045.85000002</v>
      </c>
      <c r="D101" s="44">
        <v>428594868.29000002</v>
      </c>
      <c r="E101" s="16"/>
      <c r="F101" s="3"/>
      <c r="G101" s="2"/>
      <c r="H101" s="55"/>
    </row>
    <row r="102" spans="2:8" x14ac:dyDescent="0.3">
      <c r="B102" s="11" t="s">
        <v>91</v>
      </c>
      <c r="C102" s="61">
        <v>-489502744.72000003</v>
      </c>
      <c r="D102" s="44">
        <v>-654289430.13999999</v>
      </c>
      <c r="E102" s="16"/>
      <c r="F102" s="3"/>
      <c r="G102" s="2"/>
      <c r="H102" s="55"/>
    </row>
    <row r="103" spans="2:8" x14ac:dyDescent="0.3">
      <c r="B103" s="11" t="s">
        <v>92</v>
      </c>
      <c r="C103" s="15">
        <v>0</v>
      </c>
      <c r="D103" s="45">
        <v>0</v>
      </c>
      <c r="E103" s="17"/>
      <c r="F103" s="3"/>
      <c r="G103" s="2"/>
      <c r="H103" s="55"/>
    </row>
    <row r="104" spans="2:8" ht="15.6" x14ac:dyDescent="0.3">
      <c r="B104" s="9" t="s">
        <v>93</v>
      </c>
      <c r="C104" s="18">
        <v>0</v>
      </c>
      <c r="D104" s="46">
        <v>0</v>
      </c>
      <c r="E104" s="17"/>
      <c r="F104" s="3"/>
      <c r="G104" s="2"/>
      <c r="H104" s="55"/>
    </row>
    <row r="105" spans="2:8" x14ac:dyDescent="0.3">
      <c r="B105" s="11" t="s">
        <v>94</v>
      </c>
      <c r="C105" s="15">
        <v>0</v>
      </c>
      <c r="D105" s="45">
        <v>0</v>
      </c>
      <c r="E105" s="17"/>
      <c r="F105" s="3"/>
      <c r="G105" s="2"/>
      <c r="H105" s="55"/>
    </row>
    <row r="106" spans="2:8" x14ac:dyDescent="0.3">
      <c r="B106" s="11" t="s">
        <v>95</v>
      </c>
      <c r="C106" s="15">
        <v>0</v>
      </c>
      <c r="D106" s="45">
        <v>0</v>
      </c>
      <c r="E106" s="17"/>
      <c r="F106" s="3"/>
      <c r="G106" s="2"/>
      <c r="H106" s="55"/>
    </row>
    <row r="107" spans="2:8" x14ac:dyDescent="0.3">
      <c r="B107" s="11" t="s">
        <v>96</v>
      </c>
      <c r="C107" s="15">
        <v>0</v>
      </c>
      <c r="D107" s="45">
        <v>0</v>
      </c>
      <c r="E107" s="17"/>
      <c r="F107" s="3"/>
      <c r="G107" s="2"/>
      <c r="H107" s="55"/>
    </row>
    <row r="108" spans="2:8" x14ac:dyDescent="0.3">
      <c r="B108" s="11" t="s">
        <v>97</v>
      </c>
      <c r="C108" s="15">
        <v>0</v>
      </c>
      <c r="D108" s="45">
        <v>0</v>
      </c>
      <c r="E108" s="17"/>
      <c r="F108" s="3"/>
      <c r="G108" s="2"/>
      <c r="H108" s="55"/>
    </row>
    <row r="109" spans="2:8" x14ac:dyDescent="0.3">
      <c r="B109" s="11" t="s">
        <v>98</v>
      </c>
      <c r="C109" s="15">
        <v>0</v>
      </c>
      <c r="D109" s="45">
        <v>0</v>
      </c>
      <c r="E109" s="17"/>
      <c r="F109" s="3"/>
      <c r="G109" s="2"/>
      <c r="H109" s="55"/>
    </row>
    <row r="110" spans="2:8" ht="15.6" x14ac:dyDescent="0.3">
      <c r="B110" s="9" t="s">
        <v>99</v>
      </c>
      <c r="C110" s="60">
        <v>1800687825.23</v>
      </c>
      <c r="D110" s="43">
        <v>1666735879.72</v>
      </c>
      <c r="E110" s="16"/>
      <c r="F110" s="3"/>
      <c r="G110" s="2"/>
      <c r="H110" s="55"/>
    </row>
    <row r="111" spans="2:8" x14ac:dyDescent="0.3">
      <c r="B111" s="11" t="s">
        <v>100</v>
      </c>
      <c r="C111" s="61">
        <v>260923207.81</v>
      </c>
      <c r="D111" s="44">
        <v>237183916.75999999</v>
      </c>
      <c r="E111" s="16"/>
      <c r="F111" s="3"/>
      <c r="G111" s="2"/>
      <c r="H111" s="55"/>
    </row>
    <row r="112" spans="2:8" x14ac:dyDescent="0.3">
      <c r="B112" s="11" t="s">
        <v>46</v>
      </c>
      <c r="C112" s="61">
        <v>1539764617.4200001</v>
      </c>
      <c r="D112" s="44">
        <v>1429551962.96</v>
      </c>
      <c r="E112" s="16"/>
      <c r="F112" s="3"/>
      <c r="G112" s="2"/>
      <c r="H112" s="55"/>
    </row>
    <row r="113" spans="2:8" ht="15.6" x14ac:dyDescent="0.3">
      <c r="B113" s="9" t="s">
        <v>101</v>
      </c>
      <c r="C113" s="60">
        <v>2334458.11</v>
      </c>
      <c r="D113" s="46">
        <v>0</v>
      </c>
      <c r="E113" s="17"/>
      <c r="F113" s="3"/>
      <c r="G113" s="2"/>
      <c r="H113" s="55"/>
    </row>
    <row r="114" spans="2:8" x14ac:dyDescent="0.3">
      <c r="B114" s="11" t="s">
        <v>102</v>
      </c>
      <c r="C114" s="15">
        <v>0</v>
      </c>
      <c r="D114" s="45">
        <v>0</v>
      </c>
      <c r="E114" s="17"/>
      <c r="F114" s="3"/>
      <c r="G114" s="2"/>
      <c r="H114" s="55"/>
    </row>
    <row r="115" spans="2:8" x14ac:dyDescent="0.3">
      <c r="B115" s="11" t="s">
        <v>103</v>
      </c>
      <c r="C115" s="15">
        <v>0</v>
      </c>
      <c r="D115" s="45">
        <v>0</v>
      </c>
      <c r="E115" s="17"/>
      <c r="F115" s="3"/>
      <c r="G115" s="2"/>
      <c r="H115" s="55"/>
    </row>
    <row r="116" spans="2:8" x14ac:dyDescent="0.3">
      <c r="B116" s="11" t="s">
        <v>104</v>
      </c>
      <c r="C116" s="15">
        <v>0</v>
      </c>
      <c r="D116" s="45">
        <v>0</v>
      </c>
      <c r="E116" s="17"/>
      <c r="F116" s="3"/>
      <c r="G116" s="2"/>
      <c r="H116" s="55"/>
    </row>
    <row r="117" spans="2:8" x14ac:dyDescent="0.3">
      <c r="B117" s="11" t="s">
        <v>105</v>
      </c>
      <c r="C117" s="15">
        <v>0</v>
      </c>
      <c r="D117" s="45">
        <v>0</v>
      </c>
      <c r="E117" s="17"/>
      <c r="F117" s="3"/>
      <c r="G117" s="2"/>
      <c r="H117" s="55"/>
    </row>
    <row r="118" spans="2:8" x14ac:dyDescent="0.3">
      <c r="B118" s="11" t="s">
        <v>106</v>
      </c>
      <c r="C118" s="61">
        <v>2334458.11</v>
      </c>
      <c r="D118" s="45">
        <v>0</v>
      </c>
      <c r="E118" s="17"/>
      <c r="F118" s="3"/>
      <c r="G118" s="2"/>
      <c r="H118" s="55"/>
    </row>
    <row r="119" spans="2:8" x14ac:dyDescent="0.3">
      <c r="B119" s="11" t="s">
        <v>107</v>
      </c>
      <c r="C119" s="15">
        <v>0</v>
      </c>
      <c r="D119" s="45">
        <v>0</v>
      </c>
      <c r="E119" s="17"/>
      <c r="F119" s="3"/>
      <c r="G119" s="2"/>
      <c r="H119" s="55"/>
    </row>
    <row r="120" spans="2:8" x14ac:dyDescent="0.3">
      <c r="B120" s="11" t="s">
        <v>39</v>
      </c>
      <c r="C120" s="15">
        <v>0</v>
      </c>
      <c r="D120" s="45">
        <v>0</v>
      </c>
      <c r="E120" s="17"/>
      <c r="F120" s="3"/>
      <c r="G120" s="2"/>
      <c r="H120" s="55"/>
    </row>
    <row r="121" spans="2:8" ht="15" thickBot="1" x14ac:dyDescent="0.35">
      <c r="B121" s="26" t="s">
        <v>81</v>
      </c>
      <c r="C121" s="27">
        <v>0</v>
      </c>
      <c r="D121" s="47">
        <v>0</v>
      </c>
      <c r="E121" s="17"/>
      <c r="F121" s="7"/>
      <c r="G121" s="29"/>
      <c r="H121" s="56"/>
    </row>
    <row r="122" spans="2:8" s="13" customFormat="1" ht="18.600000000000001" thickBot="1" x14ac:dyDescent="0.4">
      <c r="B122" s="25" t="s">
        <v>108</v>
      </c>
      <c r="C122" s="62">
        <v>16833511227.809999</v>
      </c>
      <c r="D122" s="48">
        <v>20299954189.16</v>
      </c>
      <c r="E122" s="20"/>
      <c r="F122" s="31" t="s">
        <v>190</v>
      </c>
      <c r="G122" s="28">
        <v>16833511227.809999</v>
      </c>
      <c r="H122" s="57">
        <v>20299954189.16</v>
      </c>
    </row>
  </sheetData>
  <pageMargins left="0" right="0" top="0" bottom="0" header="0" footer="0"/>
  <pageSetup paperSize="9" scale="61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60"/>
  <sheetViews>
    <sheetView zoomScale="115" zoomScaleNormal="115" workbookViewId="0">
      <selection activeCell="B17" sqref="B17"/>
    </sheetView>
  </sheetViews>
  <sheetFormatPr defaultRowHeight="15.6" x14ac:dyDescent="0.3"/>
  <cols>
    <col min="2" max="2" width="58.6640625" style="6" customWidth="1"/>
    <col min="3" max="3" width="23" style="6" customWidth="1"/>
    <col min="4" max="4" width="24.44140625" style="6" customWidth="1"/>
    <col min="5" max="5" width="15.88671875" bestFit="1" customWidth="1"/>
    <col min="6" max="6" width="16.44140625" bestFit="1" customWidth="1"/>
  </cols>
  <sheetData>
    <row r="1" spans="2:4" ht="16.2" thickBot="1" x14ac:dyDescent="0.35"/>
    <row r="2" spans="2:4" ht="15" thickBot="1" x14ac:dyDescent="0.35">
      <c r="B2" s="14" t="s">
        <v>249</v>
      </c>
      <c r="C2" s="69">
        <v>2024</v>
      </c>
      <c r="D2" s="70">
        <v>2025</v>
      </c>
    </row>
    <row r="3" spans="2:4" x14ac:dyDescent="0.3">
      <c r="B3" s="33" t="s">
        <v>191</v>
      </c>
      <c r="C3" s="37">
        <v>6429395075.0900002</v>
      </c>
      <c r="D3" s="63">
        <v>11958633140.5</v>
      </c>
    </row>
    <row r="4" spans="2:4" ht="14.4" x14ac:dyDescent="0.3">
      <c r="B4" s="34" t="s">
        <v>192</v>
      </c>
      <c r="C4" s="38">
        <v>6270348144.0699997</v>
      </c>
      <c r="D4" s="64">
        <v>11669254903.35</v>
      </c>
    </row>
    <row r="5" spans="2:4" ht="14.4" x14ac:dyDescent="0.3">
      <c r="B5" s="34" t="s">
        <v>193</v>
      </c>
      <c r="C5" s="38">
        <v>96810035.349999994</v>
      </c>
      <c r="D5" s="64">
        <v>224373978.38999999</v>
      </c>
    </row>
    <row r="6" spans="2:4" ht="14.4" x14ac:dyDescent="0.3">
      <c r="B6" s="34" t="s">
        <v>194</v>
      </c>
      <c r="C6" s="38">
        <v>62236895.670000002</v>
      </c>
      <c r="D6" s="64">
        <v>65004258.759999998</v>
      </c>
    </row>
    <row r="7" spans="2:4" x14ac:dyDescent="0.3">
      <c r="B7" s="35" t="s">
        <v>195</v>
      </c>
      <c r="C7" s="39">
        <v>-629870588.35000002</v>
      </c>
      <c r="D7" s="65">
        <v>-885850625.51999998</v>
      </c>
    </row>
    <row r="8" spans="2:4" ht="14.4" x14ac:dyDescent="0.3">
      <c r="B8" s="34" t="s">
        <v>196</v>
      </c>
      <c r="C8" s="38">
        <v>-88405667.430000007</v>
      </c>
      <c r="D8" s="64">
        <v>-190358283.47999999</v>
      </c>
    </row>
    <row r="9" spans="2:4" ht="14.4" x14ac:dyDescent="0.3">
      <c r="B9" s="34" t="s">
        <v>197</v>
      </c>
      <c r="C9" s="38">
        <v>-541464920.91999996</v>
      </c>
      <c r="D9" s="64">
        <v>-695492342.03999996</v>
      </c>
    </row>
    <row r="10" spans="2:4" ht="14.4" x14ac:dyDescent="0.3">
      <c r="B10" s="34" t="s">
        <v>198</v>
      </c>
      <c r="C10" s="40">
        <v>0</v>
      </c>
      <c r="D10" s="66">
        <v>0</v>
      </c>
    </row>
    <row r="11" spans="2:4" x14ac:dyDescent="0.3">
      <c r="B11" s="35" t="s">
        <v>199</v>
      </c>
      <c r="C11" s="39">
        <v>5799524486.7399998</v>
      </c>
      <c r="D11" s="65">
        <v>11072782514.98</v>
      </c>
    </row>
    <row r="12" spans="2:4" x14ac:dyDescent="0.3">
      <c r="B12" s="35" t="s">
        <v>200</v>
      </c>
      <c r="C12" s="39">
        <v>-6021310041.3999996</v>
      </c>
      <c r="D12" s="65">
        <v>-10202139038.620001</v>
      </c>
    </row>
    <row r="13" spans="2:4" ht="14.4" x14ac:dyDescent="0.3">
      <c r="B13" s="34" t="s">
        <v>201</v>
      </c>
      <c r="C13" s="40">
        <v>0</v>
      </c>
      <c r="D13" s="66">
        <v>0</v>
      </c>
    </row>
    <row r="14" spans="2:4" ht="14.4" x14ac:dyDescent="0.3">
      <c r="B14" s="34" t="s">
        <v>202</v>
      </c>
      <c r="C14" s="38">
        <v>-73565811.689999998</v>
      </c>
      <c r="D14" s="64">
        <v>-380444001.08999997</v>
      </c>
    </row>
    <row r="15" spans="2:4" ht="14.4" x14ac:dyDescent="0.3">
      <c r="B15" s="34" t="s">
        <v>203</v>
      </c>
      <c r="C15" s="38">
        <v>-5947744229.71</v>
      </c>
      <c r="D15" s="64">
        <v>-9805943790.2700005</v>
      </c>
    </row>
    <row r="16" spans="2:4" ht="14.4" x14ac:dyDescent="0.3">
      <c r="B16" s="34" t="s">
        <v>204</v>
      </c>
      <c r="C16" s="40">
        <v>0</v>
      </c>
      <c r="D16" s="64">
        <v>-15751247.26</v>
      </c>
    </row>
    <row r="17" spans="2:4" x14ac:dyDescent="0.3">
      <c r="B17" s="35" t="s">
        <v>205</v>
      </c>
      <c r="C17" s="39">
        <v>-221785554.66</v>
      </c>
      <c r="D17" s="65">
        <v>870643476.36000001</v>
      </c>
    </row>
    <row r="18" spans="2:4" x14ac:dyDescent="0.3">
      <c r="B18" s="35" t="s">
        <v>206</v>
      </c>
      <c r="C18" s="39">
        <v>-374157257.02999997</v>
      </c>
      <c r="D18" s="65">
        <v>-782496185.59000003</v>
      </c>
    </row>
    <row r="19" spans="2:4" ht="14.4" x14ac:dyDescent="0.3">
      <c r="B19" s="34" t="s">
        <v>207</v>
      </c>
      <c r="C19" s="38">
        <v>-40481591.649999999</v>
      </c>
      <c r="D19" s="64">
        <v>-58389467.579999998</v>
      </c>
    </row>
    <row r="20" spans="2:4" ht="14.4" x14ac:dyDescent="0.3">
      <c r="B20" s="34" t="s">
        <v>208</v>
      </c>
      <c r="C20" s="38">
        <v>-264922702.53</v>
      </c>
      <c r="D20" s="64">
        <v>-592521276.75</v>
      </c>
    </row>
    <row r="21" spans="2:4" ht="14.4" x14ac:dyDescent="0.3">
      <c r="B21" s="34" t="s">
        <v>209</v>
      </c>
      <c r="C21" s="38">
        <v>-68752962.849999994</v>
      </c>
      <c r="D21" s="64">
        <v>-131585441.26000001</v>
      </c>
    </row>
    <row r="22" spans="2:4" x14ac:dyDescent="0.3">
      <c r="B22" s="35" t="s">
        <v>210</v>
      </c>
      <c r="C22" s="39">
        <v>-595942811.69000006</v>
      </c>
      <c r="D22" s="65">
        <v>88147290.769999996</v>
      </c>
    </row>
    <row r="23" spans="2:4" x14ac:dyDescent="0.3">
      <c r="B23" s="35" t="s">
        <v>211</v>
      </c>
      <c r="C23" s="39">
        <v>996485603.96000004</v>
      </c>
      <c r="D23" s="65">
        <v>1576772155.8099999</v>
      </c>
    </row>
    <row r="24" spans="2:4" ht="14.4" x14ac:dyDescent="0.3">
      <c r="B24" s="34" t="s">
        <v>212</v>
      </c>
      <c r="C24" s="38">
        <v>19223975.289999999</v>
      </c>
      <c r="D24" s="64">
        <v>4223285.7300000004</v>
      </c>
    </row>
    <row r="25" spans="2:4" ht="14.4" x14ac:dyDescent="0.3">
      <c r="B25" s="34" t="s">
        <v>213</v>
      </c>
      <c r="C25" s="40">
        <v>0</v>
      </c>
      <c r="D25" s="66">
        <v>0</v>
      </c>
    </row>
    <row r="26" spans="2:4" ht="14.4" x14ac:dyDescent="0.3">
      <c r="B26" s="34" t="s">
        <v>214</v>
      </c>
      <c r="C26" s="38">
        <v>75799471.579999998</v>
      </c>
      <c r="D26" s="64">
        <v>92022484.040000007</v>
      </c>
    </row>
    <row r="27" spans="2:4" ht="14.4" x14ac:dyDescent="0.3">
      <c r="B27" s="34" t="s">
        <v>215</v>
      </c>
      <c r="C27" s="40">
        <v>0</v>
      </c>
      <c r="D27" s="66">
        <v>0</v>
      </c>
    </row>
    <row r="28" spans="2:4" ht="14.4" x14ac:dyDescent="0.3">
      <c r="B28" s="34" t="s">
        <v>216</v>
      </c>
      <c r="C28" s="38">
        <v>11230703.060000001</v>
      </c>
      <c r="D28" s="64">
        <v>50039191.560000002</v>
      </c>
    </row>
    <row r="29" spans="2:4" ht="14.4" x14ac:dyDescent="0.3">
      <c r="B29" s="34" t="s">
        <v>217</v>
      </c>
      <c r="C29" s="38">
        <v>375540.17</v>
      </c>
      <c r="D29" s="64">
        <v>6818629.1900000004</v>
      </c>
    </row>
    <row r="30" spans="2:4" ht="14.4" x14ac:dyDescent="0.3">
      <c r="B30" s="34" t="s">
        <v>218</v>
      </c>
      <c r="C30" s="38">
        <v>889855913.86000001</v>
      </c>
      <c r="D30" s="64">
        <v>1423668565.29</v>
      </c>
    </row>
    <row r="31" spans="2:4" ht="14.4" x14ac:dyDescent="0.3">
      <c r="B31" s="34" t="s">
        <v>219</v>
      </c>
      <c r="C31" s="40">
        <v>0</v>
      </c>
      <c r="D31" s="66">
        <v>0</v>
      </c>
    </row>
    <row r="32" spans="2:4" ht="14.4" x14ac:dyDescent="0.3">
      <c r="B32" s="34" t="s">
        <v>220</v>
      </c>
      <c r="C32" s="40">
        <v>0</v>
      </c>
      <c r="D32" s="66">
        <v>0</v>
      </c>
    </row>
    <row r="33" spans="2:4" ht="14.4" x14ac:dyDescent="0.3">
      <c r="B33" s="34" t="s">
        <v>221</v>
      </c>
      <c r="C33" s="40">
        <v>0</v>
      </c>
      <c r="D33" s="66">
        <v>0</v>
      </c>
    </row>
    <row r="34" spans="2:4" x14ac:dyDescent="0.3">
      <c r="B34" s="35" t="s">
        <v>222</v>
      </c>
      <c r="C34" s="39">
        <v>-1405553840.29</v>
      </c>
      <c r="D34" s="65">
        <v>-3565003703.0599999</v>
      </c>
    </row>
    <row r="35" spans="2:4" ht="14.4" x14ac:dyDescent="0.3">
      <c r="B35" s="34" t="s">
        <v>223</v>
      </c>
      <c r="C35" s="40">
        <v>0</v>
      </c>
      <c r="D35" s="66">
        <v>0</v>
      </c>
    </row>
    <row r="36" spans="2:4" ht="14.4" x14ac:dyDescent="0.3">
      <c r="B36" s="34" t="s">
        <v>224</v>
      </c>
      <c r="C36" s="38">
        <v>-46413546.469999999</v>
      </c>
      <c r="D36" s="64">
        <v>-80694702.180000007</v>
      </c>
    </row>
    <row r="37" spans="2:4" ht="14.4" x14ac:dyDescent="0.3">
      <c r="B37" s="34" t="s">
        <v>225</v>
      </c>
      <c r="C37" s="40">
        <v>0</v>
      </c>
      <c r="D37" s="66">
        <v>0</v>
      </c>
    </row>
    <row r="38" spans="2:4" ht="14.4" x14ac:dyDescent="0.3">
      <c r="B38" s="34" t="s">
        <v>226</v>
      </c>
      <c r="C38" s="38">
        <v>-1359140293.8199999</v>
      </c>
      <c r="D38" s="64">
        <v>-3484309000.8800001</v>
      </c>
    </row>
    <row r="39" spans="2:4" ht="14.4" x14ac:dyDescent="0.3">
      <c r="B39" s="34" t="s">
        <v>227</v>
      </c>
      <c r="C39" s="40">
        <v>0</v>
      </c>
      <c r="D39" s="66">
        <v>0</v>
      </c>
    </row>
    <row r="40" spans="2:4" ht="14.4" x14ac:dyDescent="0.3">
      <c r="B40" s="34" t="s">
        <v>228</v>
      </c>
      <c r="C40" s="40">
        <v>0</v>
      </c>
      <c r="D40" s="66">
        <v>0</v>
      </c>
    </row>
    <row r="41" spans="2:4" ht="14.4" x14ac:dyDescent="0.3">
      <c r="B41" s="34" t="s">
        <v>229</v>
      </c>
      <c r="C41" s="40">
        <v>0</v>
      </c>
      <c r="D41" s="66">
        <v>0</v>
      </c>
    </row>
    <row r="42" spans="2:4" x14ac:dyDescent="0.3">
      <c r="B42" s="35" t="s">
        <v>230</v>
      </c>
      <c r="C42" s="39">
        <v>-112363557.11</v>
      </c>
      <c r="D42" s="65">
        <v>-533234767.48000002</v>
      </c>
    </row>
    <row r="43" spans="2:4" ht="14.4" x14ac:dyDescent="0.3">
      <c r="B43" s="34" t="s">
        <v>231</v>
      </c>
      <c r="C43" s="38">
        <v>-112363557.11</v>
      </c>
      <c r="D43" s="64">
        <v>-533234767.48000002</v>
      </c>
    </row>
    <row r="44" spans="2:4" ht="14.4" x14ac:dyDescent="0.3">
      <c r="B44" s="34" t="s">
        <v>232</v>
      </c>
      <c r="C44" s="40">
        <v>0</v>
      </c>
      <c r="D44" s="66">
        <v>0</v>
      </c>
    </row>
    <row r="45" spans="2:4" x14ac:dyDescent="0.3">
      <c r="B45" s="35" t="s">
        <v>233</v>
      </c>
      <c r="C45" s="39">
        <v>-1117374605.1300001</v>
      </c>
      <c r="D45" s="65">
        <v>-2433319023.96</v>
      </c>
    </row>
    <row r="46" spans="2:4" x14ac:dyDescent="0.3">
      <c r="B46" s="35" t="s">
        <v>234</v>
      </c>
      <c r="C46" s="39">
        <v>1331488826.5</v>
      </c>
      <c r="D46" s="65">
        <v>153574313.88999999</v>
      </c>
    </row>
    <row r="47" spans="2:4" ht="14.4" x14ac:dyDescent="0.3">
      <c r="B47" s="34" t="s">
        <v>235</v>
      </c>
      <c r="C47" s="38">
        <v>926169.61</v>
      </c>
      <c r="D47" s="64">
        <v>35734821.119999997</v>
      </c>
    </row>
    <row r="48" spans="2:4" ht="14.4" x14ac:dyDescent="0.3">
      <c r="B48" s="34" t="s">
        <v>236</v>
      </c>
      <c r="C48" s="38">
        <v>463762987.25</v>
      </c>
      <c r="D48" s="64">
        <v>41519036.020000003</v>
      </c>
    </row>
    <row r="49" spans="2:4" ht="14.4" x14ac:dyDescent="0.3">
      <c r="B49" s="34" t="s">
        <v>237</v>
      </c>
      <c r="C49" s="38">
        <v>866799669.63999999</v>
      </c>
      <c r="D49" s="64">
        <v>48481244.549999997</v>
      </c>
    </row>
    <row r="50" spans="2:4" ht="14.4" x14ac:dyDescent="0.3">
      <c r="B50" s="34" t="s">
        <v>238</v>
      </c>
      <c r="C50" s="40">
        <v>0</v>
      </c>
      <c r="D50" s="64">
        <v>27839212.199999999</v>
      </c>
    </row>
    <row r="51" spans="2:4" ht="14.4" x14ac:dyDescent="0.3">
      <c r="B51" s="34" t="s">
        <v>239</v>
      </c>
      <c r="C51" s="40">
        <v>0</v>
      </c>
      <c r="D51" s="66">
        <v>0</v>
      </c>
    </row>
    <row r="52" spans="2:4" x14ac:dyDescent="0.3">
      <c r="B52" s="35" t="s">
        <v>240</v>
      </c>
      <c r="C52" s="39">
        <v>-6632138.6699999999</v>
      </c>
      <c r="D52" s="65">
        <v>-141214314.27000001</v>
      </c>
    </row>
    <row r="53" spans="2:4" ht="14.4" x14ac:dyDescent="0.3">
      <c r="B53" s="34" t="s">
        <v>241</v>
      </c>
      <c r="C53" s="40">
        <v>0</v>
      </c>
      <c r="D53" s="66">
        <v>0</v>
      </c>
    </row>
    <row r="54" spans="2:4" ht="14.4" x14ac:dyDescent="0.3">
      <c r="B54" s="34" t="s">
        <v>242</v>
      </c>
      <c r="C54" s="40">
        <v>0</v>
      </c>
      <c r="D54" s="64">
        <v>-67426911.109999999</v>
      </c>
    </row>
    <row r="55" spans="2:4" ht="14.4" x14ac:dyDescent="0.3">
      <c r="B55" s="34" t="s">
        <v>243</v>
      </c>
      <c r="C55" s="38">
        <v>-5992734.75</v>
      </c>
      <c r="D55" s="64">
        <v>-13734846.68</v>
      </c>
    </row>
    <row r="56" spans="2:4" ht="14.4" x14ac:dyDescent="0.3">
      <c r="B56" s="34" t="s">
        <v>244</v>
      </c>
      <c r="C56" s="38">
        <v>-639100</v>
      </c>
      <c r="D56" s="64">
        <v>-60047064.359999999</v>
      </c>
    </row>
    <row r="57" spans="2:4" ht="14.4" x14ac:dyDescent="0.3">
      <c r="B57" s="34" t="s">
        <v>245</v>
      </c>
      <c r="C57" s="40">
        <v>-303.92</v>
      </c>
      <c r="D57" s="64">
        <v>-5492.12</v>
      </c>
    </row>
    <row r="58" spans="2:4" x14ac:dyDescent="0.3">
      <c r="B58" s="35" t="s">
        <v>246</v>
      </c>
      <c r="C58" s="39">
        <v>207482082.69999999</v>
      </c>
      <c r="D58" s="65">
        <v>-2420959024.3400002</v>
      </c>
    </row>
    <row r="59" spans="2:4" ht="16.2" thickBot="1" x14ac:dyDescent="0.35">
      <c r="B59" s="36" t="s">
        <v>247</v>
      </c>
      <c r="C59" s="41">
        <v>-71729068.319999993</v>
      </c>
      <c r="D59" s="67">
        <v>0</v>
      </c>
    </row>
    <row r="60" spans="2:4" ht="18.600000000000001" thickBot="1" x14ac:dyDescent="0.4">
      <c r="B60" s="30" t="s">
        <v>248</v>
      </c>
      <c r="C60" s="32">
        <v>135753014.38</v>
      </c>
      <c r="D60" s="68">
        <v>-2420959024.3400002</v>
      </c>
    </row>
  </sheetData>
  <pageMargins left="0.11811023622047245" right="0.11811023622047245" top="0" bottom="0" header="0" footer="0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BILANCO</vt:lpstr>
      <vt:lpstr>GELIR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Ayhan Benli</dc:creator>
  <cp:lastModifiedBy>Osman  EKİNCİ</cp:lastModifiedBy>
  <cp:lastPrinted>2024-02-01T17:02:25Z</cp:lastPrinted>
  <dcterms:created xsi:type="dcterms:W3CDTF">2022-11-04T18:27:07Z</dcterms:created>
  <dcterms:modified xsi:type="dcterms:W3CDTF">2026-02-06T07:38:41Z</dcterms:modified>
</cp:coreProperties>
</file>